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5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eokHyun\Desktop\Coding\Auto-Bet\"/>
    </mc:Choice>
  </mc:AlternateContent>
  <xr:revisionPtr revIDLastSave="0" documentId="13_ncr:1_{2D09D33E-FABD-4FC4-88AB-CC924591553B}" xr6:coauthVersionLast="47" xr6:coauthVersionMax="47" xr10:uidLastSave="{00000000-0000-0000-0000-000000000000}"/>
  <bookViews>
    <workbookView xWindow="-110" yWindow="-110" windowWidth="25820" windowHeight="15620" xr2:uid="{00000000-000D-0000-FFFF-FFFF00000000}"/>
  </bookViews>
  <sheets>
    <sheet name="Daily" sheetId="1" r:id="rId1"/>
    <sheet name="Sheet3" sheetId="5" r:id="rId2"/>
    <sheet name="Summary" sheetId="2" r:id="rId3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9" i="1" l="1"/>
  <c r="H130" i="1"/>
  <c r="H131" i="1"/>
  <c r="H132" i="1"/>
  <c r="H133" i="1"/>
  <c r="H134" i="1"/>
  <c r="H135" i="1"/>
  <c r="H136" i="1"/>
  <c r="H137" i="1"/>
  <c r="H138" i="1"/>
  <c r="L129" i="1"/>
  <c r="L130" i="1"/>
  <c r="L131" i="1"/>
  <c r="L132" i="1"/>
  <c r="L133" i="1"/>
  <c r="L134" i="1"/>
  <c r="L135" i="1"/>
  <c r="L136" i="1"/>
  <c r="L137" i="1"/>
  <c r="L138" i="1"/>
  <c r="H108" i="1" l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H100" i="1" l="1"/>
  <c r="H101" i="1"/>
  <c r="H102" i="1"/>
  <c r="H103" i="1"/>
  <c r="H104" i="1"/>
  <c r="H105" i="1"/>
  <c r="H106" i="1"/>
  <c r="H107" i="1"/>
  <c r="L100" i="1"/>
  <c r="L101" i="1"/>
  <c r="L102" i="1"/>
  <c r="L103" i="1"/>
  <c r="L104" i="1"/>
  <c r="L105" i="1"/>
  <c r="L106" i="1"/>
  <c r="L107" i="1"/>
  <c r="H92" i="1"/>
  <c r="H93" i="1"/>
  <c r="H94" i="1"/>
  <c r="H95" i="1"/>
  <c r="H96" i="1"/>
  <c r="H97" i="1"/>
  <c r="H98" i="1"/>
  <c r="H99" i="1"/>
  <c r="L92" i="1"/>
  <c r="L93" i="1"/>
  <c r="L94" i="1"/>
  <c r="L95" i="1"/>
  <c r="L96" i="1"/>
  <c r="L97" i="1"/>
  <c r="L98" i="1"/>
  <c r="L99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H63" i="1"/>
  <c r="H64" i="1"/>
  <c r="H65" i="1"/>
  <c r="H66" i="1"/>
  <c r="H67" i="1"/>
  <c r="H68" i="1"/>
  <c r="H69" i="1"/>
  <c r="H70" i="1"/>
  <c r="H71" i="1"/>
  <c r="L63" i="1"/>
  <c r="L64" i="1"/>
  <c r="L65" i="1"/>
  <c r="L66" i="1"/>
  <c r="L67" i="1"/>
  <c r="L68" i="1"/>
  <c r="L69" i="1"/>
  <c r="L70" i="1"/>
  <c r="L71" i="1"/>
  <c r="H55" i="1"/>
  <c r="H56" i="1"/>
  <c r="H57" i="1"/>
  <c r="H58" i="1"/>
  <c r="H59" i="1"/>
  <c r="H60" i="1"/>
  <c r="H61" i="1"/>
  <c r="H62" i="1"/>
  <c r="L55" i="1"/>
  <c r="L56" i="1"/>
  <c r="L57" i="1"/>
  <c r="L58" i="1"/>
  <c r="L59" i="1"/>
  <c r="L60" i="1"/>
  <c r="L61" i="1"/>
  <c r="L62" i="1"/>
  <c r="H48" i="1"/>
  <c r="H49" i="1"/>
  <c r="H50" i="1"/>
  <c r="H51" i="1"/>
  <c r="H52" i="1"/>
  <c r="H53" i="1"/>
  <c r="H54" i="1"/>
  <c r="L51" i="1"/>
  <c r="L52" i="1"/>
  <c r="L53" i="1"/>
  <c r="L54" i="1"/>
  <c r="H40" i="1" l="1"/>
  <c r="H41" i="1"/>
  <c r="H42" i="1"/>
  <c r="H43" i="1"/>
  <c r="H44" i="1"/>
  <c r="H45" i="1"/>
  <c r="H46" i="1"/>
  <c r="H47" i="1"/>
  <c r="L40" i="1"/>
  <c r="L41" i="1"/>
  <c r="L42" i="1"/>
  <c r="L43" i="1"/>
  <c r="L44" i="1"/>
  <c r="L45" i="1"/>
  <c r="L46" i="1"/>
  <c r="L47" i="1"/>
  <c r="L48" i="1"/>
  <c r="L49" i="1"/>
  <c r="L50" i="1"/>
  <c r="H37" i="1"/>
  <c r="H38" i="1"/>
  <c r="H39" i="1"/>
  <c r="L37" i="1"/>
  <c r="L38" i="1"/>
  <c r="L39" i="1"/>
  <c r="A13" i="5" a="1"/>
  <c r="L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A2" i="5" a="1"/>
  <c r="A2" i="5" s="1"/>
  <c r="C2" i="5" s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5" i="1"/>
  <c r="H6" i="1"/>
  <c r="H7" i="1"/>
  <c r="H4" i="1"/>
  <c r="H3" i="1"/>
  <c r="J2" i="1"/>
  <c r="J3" i="1" s="1"/>
  <c r="J4" i="1" s="1"/>
  <c r="J5" i="1" s="1"/>
  <c r="J6" i="1" s="1"/>
  <c r="J7" i="1" s="1"/>
  <c r="J8" i="1" s="1"/>
  <c r="J9" i="1" s="1"/>
  <c r="J10" i="1" s="1"/>
  <c r="J11" i="1" s="1"/>
  <c r="J12" i="1" s="1"/>
  <c r="J13" i="1" s="1"/>
  <c r="J14" i="1" s="1"/>
  <c r="J15" i="1" s="1"/>
  <c r="J16" i="1" s="1"/>
  <c r="J17" i="1" s="1"/>
  <c r="J18" i="1" s="1"/>
  <c r="J19" i="1" s="1"/>
  <c r="J20" i="1" s="1"/>
  <c r="J21" i="1" s="1"/>
  <c r="J22" i="1" s="1"/>
  <c r="J23" i="1" s="1"/>
  <c r="J24" i="1" s="1"/>
  <c r="J25" i="1" s="1"/>
  <c r="J26" i="1" s="1"/>
  <c r="J27" i="1" s="1"/>
  <c r="J28" i="1" s="1"/>
  <c r="J29" i="1" s="1"/>
  <c r="J30" i="1" s="1"/>
  <c r="J31" i="1" s="1"/>
  <c r="J32" i="1" s="1"/>
  <c r="J33" i="1" s="1"/>
  <c r="J34" i="1" s="1"/>
  <c r="J35" i="1" s="1"/>
  <c r="J36" i="1" s="1"/>
  <c r="J37" i="1" s="1"/>
  <c r="J38" i="1" s="1"/>
  <c r="J39" i="1" s="1"/>
  <c r="J40" i="1" s="1"/>
  <c r="J41" i="1" s="1"/>
  <c r="J42" i="1" s="1"/>
  <c r="J43" i="1" s="1"/>
  <c r="J44" i="1" s="1"/>
  <c r="J45" i="1" s="1"/>
  <c r="J46" i="1" s="1"/>
  <c r="J47" i="1" s="1"/>
  <c r="J48" i="1" s="1"/>
  <c r="J49" i="1" s="1"/>
  <c r="J50" i="1" s="1"/>
  <c r="J51" i="1" s="1"/>
  <c r="J52" i="1" s="1"/>
  <c r="J53" i="1" s="1"/>
  <c r="J54" i="1" s="1"/>
  <c r="J55" i="1" s="1"/>
  <c r="J56" i="1" s="1"/>
  <c r="J57" i="1" s="1"/>
  <c r="J58" i="1" s="1"/>
  <c r="J59" i="1" s="1"/>
  <c r="J60" i="1" s="1"/>
  <c r="J61" i="1" s="1"/>
  <c r="J62" i="1" s="1"/>
  <c r="J63" i="1" s="1"/>
  <c r="J64" i="1" s="1"/>
  <c r="J65" i="1" s="1"/>
  <c r="J66" i="1" s="1"/>
  <c r="J67" i="1" s="1"/>
  <c r="J68" i="1" s="1"/>
  <c r="J69" i="1" s="1"/>
  <c r="J70" i="1" s="1"/>
  <c r="J71" i="1" s="1"/>
  <c r="J72" i="1" s="1"/>
  <c r="J73" i="1" s="1"/>
  <c r="J74" i="1" s="1"/>
  <c r="J75" i="1" s="1"/>
  <c r="J76" i="1" s="1"/>
  <c r="J77" i="1" s="1"/>
  <c r="J78" i="1" s="1"/>
  <c r="J79" i="1" s="1"/>
  <c r="J80" i="1" s="1"/>
  <c r="J81" i="1" s="1"/>
  <c r="J82" i="1" s="1"/>
  <c r="J83" i="1" s="1"/>
  <c r="J84" i="1" s="1"/>
  <c r="J85" i="1" s="1"/>
  <c r="J86" i="1" s="1"/>
  <c r="J87" i="1" s="1"/>
  <c r="J88" i="1" s="1"/>
  <c r="J89" i="1" s="1"/>
  <c r="J90" i="1" s="1"/>
  <c r="J91" i="1" s="1"/>
  <c r="J92" i="1" s="1"/>
  <c r="J93" i="1" s="1"/>
  <c r="J94" i="1" s="1"/>
  <c r="J95" i="1" s="1"/>
  <c r="J96" i="1" s="1"/>
  <c r="J97" i="1" s="1"/>
  <c r="J98" i="1" s="1"/>
  <c r="J99" i="1" s="1"/>
  <c r="J100" i="1" s="1"/>
  <c r="J101" i="1" s="1"/>
  <c r="J102" i="1" s="1"/>
  <c r="J103" i="1" s="1"/>
  <c r="J104" i="1" s="1"/>
  <c r="J105" i="1" s="1"/>
  <c r="J106" i="1" s="1"/>
  <c r="J107" i="1" s="1"/>
  <c r="J108" i="1" s="1"/>
  <c r="J109" i="1" s="1"/>
  <c r="J110" i="1" s="1"/>
  <c r="J111" i="1" s="1"/>
  <c r="J112" i="1" s="1"/>
  <c r="J113" i="1" s="1"/>
  <c r="J114" i="1" s="1"/>
  <c r="J115" i="1" s="1"/>
  <c r="J116" i="1" s="1"/>
  <c r="J117" i="1" s="1"/>
  <c r="J118" i="1" s="1"/>
  <c r="J119" i="1" s="1"/>
  <c r="J120" i="1" s="1"/>
  <c r="J121" i="1" s="1"/>
  <c r="J122" i="1" s="1"/>
  <c r="J123" i="1" s="1"/>
  <c r="J124" i="1" s="1"/>
  <c r="J125" i="1" s="1"/>
  <c r="J126" i="1" s="1"/>
  <c r="J127" i="1" s="1"/>
  <c r="J128" i="1" s="1"/>
  <c r="J129" i="1" s="1"/>
  <c r="J130" i="1" s="1"/>
  <c r="J131" i="1" s="1"/>
  <c r="J132" i="1" s="1"/>
  <c r="J133" i="1" s="1"/>
  <c r="J134" i="1" s="1"/>
  <c r="J135" i="1" s="1"/>
  <c r="J136" i="1" s="1"/>
  <c r="J137" i="1" s="1"/>
  <c r="J138" i="1" s="1"/>
  <c r="H2" i="1"/>
  <c r="I2" i="1" s="1"/>
  <c r="B6" i="2"/>
  <c r="B5" i="2"/>
  <c r="B4" i="2"/>
  <c r="B3" i="2"/>
  <c r="C15" i="5" l="1"/>
  <c r="B15" i="5"/>
  <c r="C14" i="5"/>
  <c r="B14" i="5"/>
  <c r="E2" i="5"/>
  <c r="E4" i="5"/>
  <c r="E3" i="5"/>
  <c r="A13" i="5"/>
  <c r="B13" i="5" s="1"/>
  <c r="B2" i="5"/>
  <c r="D2" i="5" s="1"/>
  <c r="B4" i="5"/>
  <c r="B3" i="5"/>
  <c r="C4" i="5"/>
  <c r="C3" i="5"/>
  <c r="B2" i="2"/>
  <c r="D15" i="5" l="1"/>
  <c r="C13" i="5"/>
  <c r="D13" i="5" s="1"/>
  <c r="D14" i="5"/>
  <c r="D3" i="5"/>
  <c r="D4" i="5"/>
  <c r="K2" i="1"/>
  <c r="M2" i="1" s="1"/>
  <c r="I3" i="1"/>
  <c r="K3" i="1" l="1"/>
  <c r="M3" i="1" s="1"/>
  <c r="I4" i="1"/>
  <c r="I5" i="1" s="1"/>
  <c r="I6" i="1" l="1"/>
  <c r="K5" i="1"/>
  <c r="M5" i="1" s="1"/>
  <c r="K4" i="1"/>
  <c r="M4" i="1" s="1"/>
  <c r="K6" i="1" l="1"/>
  <c r="M6" i="1" s="1"/>
  <c r="I7" i="1"/>
  <c r="K7" i="1" l="1"/>
  <c r="M7" i="1" s="1"/>
  <c r="I8" i="1"/>
  <c r="I9" i="1" l="1"/>
  <c r="K8" i="1"/>
  <c r="M8" i="1" s="1"/>
  <c r="K9" i="1" l="1"/>
  <c r="M9" i="1" s="1"/>
  <c r="I10" i="1"/>
  <c r="K10" i="1" l="1"/>
  <c r="M10" i="1" s="1"/>
  <c r="I11" i="1"/>
  <c r="I12" i="1" l="1"/>
  <c r="K11" i="1"/>
  <c r="M11" i="1" s="1"/>
  <c r="I13" i="1" l="1"/>
  <c r="K12" i="1"/>
  <c r="M12" i="1" s="1"/>
  <c r="K13" i="1" l="1"/>
  <c r="M13" i="1" s="1"/>
  <c r="I14" i="1"/>
  <c r="K14" i="1" l="1"/>
  <c r="M14" i="1" s="1"/>
  <c r="I15" i="1"/>
  <c r="K15" i="1" l="1"/>
  <c r="M15" i="1" s="1"/>
  <c r="I16" i="1"/>
  <c r="K16" i="1" l="1"/>
  <c r="M16" i="1" s="1"/>
  <c r="I17" i="1"/>
  <c r="K17" i="1" l="1"/>
  <c r="M17" i="1" s="1"/>
  <c r="I18" i="1"/>
  <c r="K18" i="1" l="1"/>
  <c r="M18" i="1" s="1"/>
  <c r="I19" i="1"/>
  <c r="I20" i="1" l="1"/>
  <c r="K19" i="1"/>
  <c r="M19" i="1" s="1"/>
  <c r="K20" i="1" l="1"/>
  <c r="M20" i="1" s="1"/>
  <c r="I21" i="1"/>
  <c r="K21" i="1" l="1"/>
  <c r="M21" i="1" s="1"/>
  <c r="I22" i="1"/>
  <c r="I23" i="1" l="1"/>
  <c r="K22" i="1"/>
  <c r="M22" i="1" s="1"/>
  <c r="I24" i="1" l="1"/>
  <c r="K23" i="1"/>
  <c r="M23" i="1" s="1"/>
  <c r="I25" i="1" l="1"/>
  <c r="K24" i="1"/>
  <c r="M24" i="1" s="1"/>
  <c r="I26" i="1" l="1"/>
  <c r="K25" i="1"/>
  <c r="M25" i="1" s="1"/>
  <c r="K26" i="1" l="1"/>
  <c r="M26" i="1" s="1"/>
  <c r="I27" i="1"/>
  <c r="I28" i="1" l="1"/>
  <c r="K27" i="1"/>
  <c r="M27" i="1" s="1"/>
  <c r="I29" i="1" l="1"/>
  <c r="K28" i="1"/>
  <c r="M28" i="1" s="1"/>
  <c r="I30" i="1" l="1"/>
  <c r="K29" i="1"/>
  <c r="M29" i="1" s="1"/>
  <c r="I31" i="1" l="1"/>
  <c r="K30" i="1"/>
  <c r="M30" i="1" s="1"/>
  <c r="I32" i="1" l="1"/>
  <c r="K31" i="1"/>
  <c r="M31" i="1" s="1"/>
  <c r="I33" i="1" l="1"/>
  <c r="K32" i="1"/>
  <c r="M32" i="1" s="1"/>
  <c r="K33" i="1" l="1"/>
  <c r="M33" i="1" s="1"/>
  <c r="I34" i="1"/>
  <c r="K34" i="1" l="1"/>
  <c r="M34" i="1" s="1"/>
  <c r="I35" i="1"/>
  <c r="I36" i="1" l="1"/>
  <c r="K35" i="1"/>
  <c r="M35" i="1" s="1"/>
  <c r="K36" i="1" l="1"/>
  <c r="M36" i="1" s="1"/>
  <c r="I37" i="1"/>
  <c r="I38" i="1" l="1"/>
  <c r="K37" i="1"/>
  <c r="M37" i="1" s="1"/>
  <c r="K38" i="1" l="1"/>
  <c r="M38" i="1" s="1"/>
  <c r="I39" i="1"/>
  <c r="K39" i="1" l="1"/>
  <c r="M39" i="1" s="1"/>
  <c r="I40" i="1"/>
  <c r="I41" i="1" l="1"/>
  <c r="K40" i="1"/>
  <c r="M40" i="1" s="1"/>
  <c r="I42" i="1" l="1"/>
  <c r="K41" i="1"/>
  <c r="M41" i="1" s="1"/>
  <c r="K42" i="1" l="1"/>
  <c r="M42" i="1" s="1"/>
  <c r="I43" i="1"/>
  <c r="K43" i="1" l="1"/>
  <c r="M43" i="1" s="1"/>
  <c r="I44" i="1"/>
  <c r="I45" i="1" l="1"/>
  <c r="K44" i="1"/>
  <c r="M44" i="1" s="1"/>
  <c r="I46" i="1" l="1"/>
  <c r="K45" i="1"/>
  <c r="M45" i="1" s="1"/>
  <c r="K46" i="1" l="1"/>
  <c r="M46" i="1" s="1"/>
  <c r="I47" i="1"/>
  <c r="K47" i="1" l="1"/>
  <c r="M47" i="1" s="1"/>
  <c r="I48" i="1"/>
  <c r="K48" i="1" l="1"/>
  <c r="M48" i="1" s="1"/>
  <c r="I49" i="1"/>
  <c r="I50" i="1" l="1"/>
  <c r="I51" i="1" s="1"/>
  <c r="K49" i="1"/>
  <c r="M49" i="1" s="1"/>
  <c r="I52" i="1" l="1"/>
  <c r="K51" i="1"/>
  <c r="M51" i="1" s="1"/>
  <c r="K50" i="1"/>
  <c r="M50" i="1" s="1"/>
  <c r="K52" i="1" l="1"/>
  <c r="M52" i="1" s="1"/>
  <c r="I53" i="1"/>
  <c r="K53" i="1" l="1"/>
  <c r="M53" i="1" s="1"/>
  <c r="I54" i="1"/>
  <c r="K54" i="1" l="1"/>
  <c r="M54" i="1" s="1"/>
  <c r="I55" i="1"/>
  <c r="I56" i="1" l="1"/>
  <c r="K55" i="1"/>
  <c r="M55" i="1" s="1"/>
  <c r="I57" i="1" l="1"/>
  <c r="K56" i="1"/>
  <c r="M56" i="1" s="1"/>
  <c r="K57" i="1" l="1"/>
  <c r="M57" i="1" s="1"/>
  <c r="I58" i="1"/>
  <c r="K58" i="1" l="1"/>
  <c r="M58" i="1" s="1"/>
  <c r="I59" i="1"/>
  <c r="K59" i="1" l="1"/>
  <c r="M59" i="1" s="1"/>
  <c r="I60" i="1"/>
  <c r="I61" i="1" l="1"/>
  <c r="K60" i="1"/>
  <c r="M60" i="1" s="1"/>
  <c r="I62" i="1" l="1"/>
  <c r="K61" i="1"/>
  <c r="M61" i="1" s="1"/>
  <c r="K62" i="1" l="1"/>
  <c r="M62" i="1" s="1"/>
  <c r="I63" i="1"/>
  <c r="I64" i="1" l="1"/>
  <c r="K63" i="1"/>
  <c r="M63" i="1" s="1"/>
  <c r="K64" i="1" l="1"/>
  <c r="M64" i="1" s="1"/>
  <c r="I65" i="1"/>
  <c r="I66" i="1" l="1"/>
  <c r="K65" i="1"/>
  <c r="M65" i="1" s="1"/>
  <c r="I67" i="1" l="1"/>
  <c r="K66" i="1"/>
  <c r="M66" i="1" s="1"/>
  <c r="I68" i="1" l="1"/>
  <c r="K67" i="1"/>
  <c r="M67" i="1" s="1"/>
  <c r="K68" i="1" l="1"/>
  <c r="M68" i="1" s="1"/>
  <c r="I69" i="1"/>
  <c r="K69" i="1" l="1"/>
  <c r="M69" i="1" s="1"/>
  <c r="I70" i="1"/>
  <c r="I71" i="1" l="1"/>
  <c r="I72" i="1" s="1"/>
  <c r="K70" i="1"/>
  <c r="M70" i="1" s="1"/>
  <c r="K72" i="1" l="1"/>
  <c r="M72" i="1" s="1"/>
  <c r="I73" i="1"/>
  <c r="K71" i="1"/>
  <c r="M71" i="1" s="1"/>
  <c r="K73" i="1" l="1"/>
  <c r="M73" i="1" s="1"/>
  <c r="I74" i="1"/>
  <c r="I75" i="1" l="1"/>
  <c r="K74" i="1"/>
  <c r="M74" i="1" s="1"/>
  <c r="I76" i="1" l="1"/>
  <c r="K75" i="1"/>
  <c r="M75" i="1" s="1"/>
  <c r="I77" i="1" l="1"/>
  <c r="K76" i="1"/>
  <c r="M76" i="1" s="1"/>
  <c r="K77" i="1" l="1"/>
  <c r="M77" i="1" s="1"/>
  <c r="I78" i="1"/>
  <c r="I79" i="1" l="1"/>
  <c r="K78" i="1"/>
  <c r="M78" i="1" s="1"/>
  <c r="I80" i="1" l="1"/>
  <c r="K79" i="1"/>
  <c r="M79" i="1" s="1"/>
  <c r="K80" i="1" l="1"/>
  <c r="M80" i="1" s="1"/>
  <c r="I81" i="1"/>
  <c r="I82" i="1" l="1"/>
  <c r="K81" i="1"/>
  <c r="M81" i="1" s="1"/>
  <c r="I83" i="1" l="1"/>
  <c r="K82" i="1"/>
  <c r="M82" i="1" s="1"/>
  <c r="I84" i="1" l="1"/>
  <c r="K83" i="1"/>
  <c r="M83" i="1" s="1"/>
  <c r="I85" i="1" l="1"/>
  <c r="K84" i="1"/>
  <c r="M84" i="1" s="1"/>
  <c r="K85" i="1" l="1"/>
  <c r="M85" i="1" s="1"/>
  <c r="I86" i="1"/>
  <c r="I87" i="1" l="1"/>
  <c r="K86" i="1"/>
  <c r="M86" i="1" s="1"/>
  <c r="K87" i="1" l="1"/>
  <c r="M87" i="1" s="1"/>
  <c r="I88" i="1"/>
  <c r="K88" i="1" l="1"/>
  <c r="M88" i="1" s="1"/>
  <c r="I89" i="1"/>
  <c r="K89" i="1" l="1"/>
  <c r="M89" i="1" s="1"/>
  <c r="I90" i="1"/>
  <c r="I91" i="1" l="1"/>
  <c r="I92" i="1" s="1"/>
  <c r="K90" i="1"/>
  <c r="M90" i="1" s="1"/>
  <c r="I93" i="1" l="1"/>
  <c r="K92" i="1"/>
  <c r="M92" i="1" s="1"/>
  <c r="K91" i="1"/>
  <c r="M91" i="1" s="1"/>
  <c r="K93" i="1" l="1"/>
  <c r="M93" i="1" s="1"/>
  <c r="I94" i="1"/>
  <c r="I95" i="1" l="1"/>
  <c r="K94" i="1"/>
  <c r="M94" i="1" s="1"/>
  <c r="K95" i="1" l="1"/>
  <c r="M95" i="1" s="1"/>
  <c r="I96" i="1"/>
  <c r="K96" i="1" l="1"/>
  <c r="M96" i="1" s="1"/>
  <c r="I97" i="1"/>
  <c r="K97" i="1" l="1"/>
  <c r="M97" i="1" s="1"/>
  <c r="I98" i="1"/>
  <c r="I99" i="1" l="1"/>
  <c r="K98" i="1"/>
  <c r="M98" i="1" s="1"/>
  <c r="K99" i="1" l="1"/>
  <c r="M99" i="1" s="1"/>
  <c r="I100" i="1"/>
  <c r="K100" i="1" l="1"/>
  <c r="M100" i="1" s="1"/>
  <c r="I101" i="1"/>
  <c r="I102" i="1" l="1"/>
  <c r="K101" i="1"/>
  <c r="M101" i="1" s="1"/>
  <c r="I103" i="1" l="1"/>
  <c r="K102" i="1"/>
  <c r="M102" i="1" s="1"/>
  <c r="K103" i="1" l="1"/>
  <c r="M103" i="1" s="1"/>
  <c r="I104" i="1"/>
  <c r="I105" i="1" l="1"/>
  <c r="K104" i="1"/>
  <c r="M104" i="1" s="1"/>
  <c r="I106" i="1" l="1"/>
  <c r="K105" i="1"/>
  <c r="M105" i="1" s="1"/>
  <c r="I107" i="1" l="1"/>
  <c r="I108" i="1" s="1"/>
  <c r="K106" i="1"/>
  <c r="M106" i="1" s="1"/>
  <c r="I109" i="1" l="1"/>
  <c r="K108" i="1"/>
  <c r="M108" i="1" s="1"/>
  <c r="K107" i="1"/>
  <c r="M107" i="1" s="1"/>
  <c r="I110" i="1" l="1"/>
  <c r="K109" i="1"/>
  <c r="M109" i="1" s="1"/>
  <c r="K110" i="1" l="1"/>
  <c r="M110" i="1" s="1"/>
  <c r="I111" i="1"/>
  <c r="I112" i="1" l="1"/>
  <c r="K111" i="1"/>
  <c r="M111" i="1" s="1"/>
  <c r="I113" i="1" l="1"/>
  <c r="K112" i="1"/>
  <c r="M112" i="1" s="1"/>
  <c r="K113" i="1" l="1"/>
  <c r="M113" i="1" s="1"/>
  <c r="I114" i="1"/>
  <c r="K114" i="1" l="1"/>
  <c r="M114" i="1" s="1"/>
  <c r="I115" i="1"/>
  <c r="I116" i="1" l="1"/>
  <c r="K115" i="1"/>
  <c r="M115" i="1" s="1"/>
  <c r="I117" i="1" l="1"/>
  <c r="K116" i="1"/>
  <c r="M116" i="1" s="1"/>
  <c r="I118" i="1" l="1"/>
  <c r="K117" i="1"/>
  <c r="M117" i="1" s="1"/>
  <c r="K118" i="1" l="1"/>
  <c r="M118" i="1" s="1"/>
  <c r="I119" i="1"/>
  <c r="I120" i="1" l="1"/>
  <c r="K119" i="1"/>
  <c r="M119" i="1" s="1"/>
  <c r="I121" i="1" l="1"/>
  <c r="K120" i="1"/>
  <c r="M120" i="1" s="1"/>
  <c r="K121" i="1" l="1"/>
  <c r="M121" i="1" s="1"/>
  <c r="I122" i="1"/>
  <c r="K122" i="1" l="1"/>
  <c r="M122" i="1" s="1"/>
  <c r="I123" i="1"/>
  <c r="I124" i="1" l="1"/>
  <c r="K123" i="1"/>
  <c r="M123" i="1" s="1"/>
  <c r="I125" i="1" l="1"/>
  <c r="K124" i="1"/>
  <c r="M124" i="1" s="1"/>
  <c r="I126" i="1" l="1"/>
  <c r="K125" i="1"/>
  <c r="M125" i="1" s="1"/>
  <c r="K126" i="1" l="1"/>
  <c r="M126" i="1" s="1"/>
  <c r="I127" i="1"/>
  <c r="I128" i="1" l="1"/>
  <c r="I129" i="1" s="1"/>
  <c r="K127" i="1"/>
  <c r="M127" i="1" s="1"/>
  <c r="I130" i="1" l="1"/>
  <c r="K129" i="1"/>
  <c r="M129" i="1" s="1"/>
  <c r="K128" i="1"/>
  <c r="M128" i="1" s="1"/>
  <c r="I131" i="1" l="1"/>
  <c r="K130" i="1"/>
  <c r="M130" i="1" s="1"/>
  <c r="K131" i="1" l="1"/>
  <c r="M131" i="1" s="1"/>
  <c r="I132" i="1"/>
  <c r="I133" i="1" l="1"/>
  <c r="K132" i="1"/>
  <c r="M132" i="1" s="1"/>
  <c r="I134" i="1" l="1"/>
  <c r="K133" i="1"/>
  <c r="M133" i="1" s="1"/>
  <c r="I135" i="1" l="1"/>
  <c r="K134" i="1"/>
  <c r="M134" i="1" s="1"/>
  <c r="K135" i="1" l="1"/>
  <c r="M135" i="1" s="1"/>
  <c r="I136" i="1"/>
  <c r="I137" i="1" l="1"/>
  <c r="K136" i="1"/>
  <c r="M136" i="1" s="1"/>
  <c r="I138" i="1" l="1"/>
  <c r="K138" i="1" s="1"/>
  <c r="M138" i="1" s="1"/>
  <c r="K137" i="1"/>
  <c r="M137" i="1" s="1"/>
  <c r="B7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<sst xmlns="http://schemas.openxmlformats.org/spreadsheetml/2006/main" count="429" uniqueCount="42">
  <si>
    <t>Date</t>
  </si>
  <si>
    <t>Card Name</t>
  </si>
  <si>
    <t>Win Prob (%)</t>
  </si>
  <si>
    <t>Odds</t>
  </si>
  <si>
    <t>Wager</t>
  </si>
  <si>
    <t>Result (Win/Loss)</t>
  </si>
  <si>
    <t>Profit</t>
  </si>
  <si>
    <t>Total Balance</t>
  </si>
  <si>
    <t>Investment</t>
  </si>
  <si>
    <t>Total Profit</t>
  </si>
  <si>
    <t>Card1</t>
  </si>
  <si>
    <t>Win</t>
  </si>
  <si>
    <t>Card2</t>
  </si>
  <si>
    <t>Card3</t>
  </si>
  <si>
    <t>Metric</t>
  </si>
  <si>
    <t>Value</t>
  </si>
  <si>
    <t>Average Win Prob (%)</t>
  </si>
  <si>
    <t>Total Wagers</t>
  </si>
  <si>
    <t>Win Rate</t>
  </si>
  <si>
    <t>Loss Rate</t>
  </si>
  <si>
    <t>Final Balance</t>
  </si>
  <si>
    <t>Parlay</t>
  </si>
  <si>
    <t>2 Pick</t>
  </si>
  <si>
    <t>Total Wins</t>
  </si>
  <si>
    <t>Total Games</t>
  </si>
  <si>
    <t>Win Count</t>
  </si>
  <si>
    <t>Total Investment</t>
  </si>
  <si>
    <t>ROI</t>
  </si>
  <si>
    <t>Expected Win Rate</t>
  </si>
  <si>
    <t>Loss</t>
  </si>
  <si>
    <t>3 Pick</t>
  </si>
  <si>
    <t>Card4</t>
  </si>
  <si>
    <t>1 Pick</t>
  </si>
  <si>
    <t>Card5</t>
  </si>
  <si>
    <t>Card6</t>
  </si>
  <si>
    <t>Card7</t>
  </si>
  <si>
    <t>Card8</t>
  </si>
  <si>
    <t>Card9</t>
  </si>
  <si>
    <t>Card10</t>
  </si>
  <si>
    <t>Card11</t>
  </si>
  <si>
    <t>4 Pick</t>
  </si>
  <si>
    <t>Card12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</si>
</sst>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/yy;@"/>
    <numFmt numFmtId="165" formatCode="0.0%"/>
    <numFmt numFmtId="166" formatCode="[$$-409]#,##0.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2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  <xf numFmtId="164" fontId="0" fillId="0" borderId="0" xfId="0" applyNumberFormat="1"/>
    <xf numFmtId="2" fontId="0" fillId="0" borderId="0" xfId="0" applyNumberFormat="1"/>
    <xf numFmtId="165" fontId="0" fillId="0" borderId="0" xfId="1" applyNumberFormat="1" applyFont="1"/>
    <xf numFmtId="0" fontId="1" fillId="0" borderId="2" xfId="0" applyFont="1" applyBorder="1"/>
    <xf numFmtId="166" fontId="0" fillId="0" borderId="0" xfId="0" applyNumberFormat="1"/>
    <xf numFmtId="166" fontId="0" fillId="2" borderId="0" xfId="0" applyNumberFormat="1" applyFill="1"/>
    <xf numFmtId="165" fontId="0" fillId="2" borderId="0" xfId="1" applyNumberFormat="1" applyFont="1" applyFill="1"/>
    <xf numFmtId="165" fontId="0" fillId="3" borderId="0" xfId="1" applyNumberFormat="1" applyFont="1" applyFill="1"/>
    <xf numFmtId="165" fontId="1" fillId="0" borderId="1" xfId="1" applyNumberFormat="1" applyFont="1" applyBorder="1" applyAlignment="1">
      <alignment horizontal="center" vertical="top"/>
    </xf>
  </cellXfs>
  <cellStyles count="2">
    <cellStyle name="Normal" xfId="0" builtinId="0"/>
    <cellStyle name="Percent" xfId="1" builtinId="5"/>
  </cellStyles>
  <dxfs count="12">
    <dxf>
      <numFmt numFmtId="165" formatCode="0.0%"/>
    </dxf>
    <dxf>
      <numFmt numFmtId="2" formatCode="0.00"/>
    </dxf>
    <dxf>
      <numFmt numFmtId="166" formatCode="[$$-409]#,##0.0"/>
    </dxf>
    <dxf>
      <numFmt numFmtId="166" formatCode="[$$-409]#,##0.0"/>
    </dxf>
    <dxf>
      <numFmt numFmtId="166" formatCode="[$$-409]#,##0.0"/>
    </dxf>
    <dxf>
      <numFmt numFmtId="166" formatCode="[$$-409]#,##0.0"/>
    </dxf>
    <dxf>
      <numFmt numFmtId="166" formatCode="[$$-409]#,##0.0"/>
    </dxf>
    <dxf>
      <numFmt numFmtId="165" formatCode="0.0%"/>
    </dxf>
    <dxf>
      <numFmt numFmtId="164" formatCode="mm/dd/yy;@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ailyTable" displayName="DailyTable" ref="A1:M138" totalsRowShown="0" headerRowDxfId="11" headerRowBorderDxfId="10" tableBorderDxfId="9">
  <autoFilter ref="A1:M138" xr:uid="{00000000-0009-0000-0100-000001000000}"/>
  <tableColumns count="13">
    <tableColumn id="1" xr3:uid="{00000000-0010-0000-0000-000001000000}" name="Date" dataDxfId="8"/>
    <tableColumn id="2" xr3:uid="{00000000-0010-0000-0000-000002000000}" name="Card Name"/>
    <tableColumn id="3" xr3:uid="{00000000-0010-0000-0000-000003000000}" name="Win Prob (%)" dataDxfId="7" dataCellStyle="Percent"/>
    <tableColumn id="4" xr3:uid="{00000000-0010-0000-0000-000004000000}" name="Odds"/>
    <tableColumn id="5" xr3:uid="{00000000-0010-0000-0000-000005000000}" name="Wager" dataDxfId="6"/>
    <tableColumn id="12" xr3:uid="{F83879DE-4866-488E-95F6-D2D56A71ADD2}" name="Parlay"/>
    <tableColumn id="6" xr3:uid="{00000000-0010-0000-0000-000006000000}" name="Result (Win/Loss)"/>
    <tableColumn id="7" xr3:uid="{00000000-0010-0000-0000-000007000000}" name="Profit" dataDxfId="5">
      <calculatedColumnFormula>IF(G2="Win", IF(D2&gt;0, E2*D2/100, E2*100/ABS(D2)), -E2)</calculatedColumnFormula>
    </tableColumn>
    <tableColumn id="8" xr3:uid="{00000000-0010-0000-0000-000008000000}" name="Total Balance" dataDxfId="4"/>
    <tableColumn id="9" xr3:uid="{00000000-0010-0000-0000-000009000000}" name="Investment" dataDxfId="3"/>
    <tableColumn id="10" xr3:uid="{00000000-0010-0000-0000-00000A000000}" name="Total Profit" dataDxfId="2">
      <calculatedColumnFormula>I2-J2</calculatedColumnFormula>
    </tableColumn>
    <tableColumn id="13" xr3:uid="{48363793-7A34-4D53-AA62-6F21347E8D63}" name="Win Count" dataDxfId="1">
      <calculatedColumnFormula>IF(DailyTable[[#This Row],[Result (Win/Loss)]]="Win",1,0)</calculatedColumnFormula>
    </tableColumn>
    <tableColumn id="11" xr3:uid="{03CCEEB4-5C8C-4205-97E7-D21C95F482C5}" name="ROI" dataDxfId="0" dataCellStyle="Percent">
      <calculatedColumnFormula>DailyTable[[#This Row],[Total Profit]]/DailyTable[[#This Row],[Investment]]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38"/>
  <sheetViews>
    <sheetView tabSelected="1" topLeftCell="A113" workbookViewId="0">
      <selection activeCell="D139" sqref="D139"/>
    </sheetView>
  </sheetViews>
  <sheetFormatPr defaultRowHeight="14.5" x14ac:dyDescent="0.35"/>
  <cols>
    <col min="1" max="1" width="9.453125" style="3" customWidth="1"/>
    <col min="2" max="2" width="10.36328125" customWidth="1"/>
    <col min="3" max="3" width="11.36328125" customWidth="1"/>
    <col min="4" max="4" width="9.7265625" bestFit="1" customWidth="1"/>
    <col min="5" max="5" width="10.81640625" bestFit="1" customWidth="1"/>
    <col min="6" max="6" width="9" customWidth="1"/>
    <col min="7" max="7" width="11.6328125" customWidth="1"/>
    <col min="8" max="8" width="11.26953125" customWidth="1"/>
    <col min="9" max="9" width="9.26953125" customWidth="1"/>
    <col min="10" max="10" width="12.36328125" customWidth="1"/>
    <col min="13" max="13" width="8.7265625" style="5"/>
  </cols>
  <sheetData>
    <row r="1" spans="1:13" x14ac:dyDescent="0.35">
      <c r="A1" s="2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21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25</v>
      </c>
      <c r="M1" s="11" t="s">
        <v>27</v>
      </c>
    </row>
    <row r="2" spans="1:13" x14ac:dyDescent="0.35">
      <c r="A2" s="3">
        <v>45684</v>
      </c>
      <c r="B2" t="s">
        <v>10</v>
      </c>
      <c r="C2" s="5">
        <v>0.45900000000000002</v>
      </c>
      <c r="D2">
        <v>556</v>
      </c>
      <c r="E2" s="7">
        <v>25</v>
      </c>
      <c r="F2" t="s">
        <v>22</v>
      </c>
      <c r="G2" t="s">
        <v>11</v>
      </c>
      <c r="H2" s="7">
        <f t="shared" ref="H2:H36" si="0">IF(G2="Win", IF(D2&gt;0, E2*D2/100, E2*100/ABS(D2)), -E2)</f>
        <v>139</v>
      </c>
      <c r="I2" s="7">
        <f>H2+E2</f>
        <v>164</v>
      </c>
      <c r="J2" s="7">
        <f>E2</f>
        <v>25</v>
      </c>
      <c r="K2" s="7">
        <f t="shared" ref="K2:K7" si="1">I2-J2</f>
        <v>139</v>
      </c>
      <c r="L2" s="4">
        <f>IF(DailyTable[[#This Row],[Result (Win/Loss)]]="Win",1,0)</f>
        <v>1</v>
      </c>
      <c r="M2" s="5">
        <f>DailyTable[[#This Row],[Total Profit]]/DailyTable[[#This Row],[Investment]]</f>
        <v>5.56</v>
      </c>
    </row>
    <row r="3" spans="1:13" x14ac:dyDescent="0.35">
      <c r="A3" s="3">
        <v>45684</v>
      </c>
      <c r="B3" t="s">
        <v>12</v>
      </c>
      <c r="C3" s="5">
        <v>0.48699999999999999</v>
      </c>
      <c r="D3">
        <v>229</v>
      </c>
      <c r="E3" s="7">
        <v>25</v>
      </c>
      <c r="F3" t="s">
        <v>22</v>
      </c>
      <c r="G3" t="s">
        <v>11</v>
      </c>
      <c r="H3" s="7">
        <f t="shared" si="0"/>
        <v>57.25</v>
      </c>
      <c r="I3" s="7">
        <f t="shared" ref="I3:I36" si="2">H3+E3+I2</f>
        <v>246.25</v>
      </c>
      <c r="J3" s="7">
        <f t="shared" ref="J3:J36" si="3">J2+E3</f>
        <v>50</v>
      </c>
      <c r="K3" s="7">
        <f t="shared" si="1"/>
        <v>196.25</v>
      </c>
      <c r="L3" s="4">
        <f>IF(DailyTable[[#This Row],[Result (Win/Loss)]]="Win",1,0)</f>
        <v>1</v>
      </c>
      <c r="M3" s="5">
        <f>DailyTable[[#This Row],[Total Profit]]/DailyTable[[#This Row],[Investment]]</f>
        <v>3.9249999999999998</v>
      </c>
    </row>
    <row r="4" spans="1:13" x14ac:dyDescent="0.35">
      <c r="A4" s="3">
        <v>45684</v>
      </c>
      <c r="B4" t="s">
        <v>13</v>
      </c>
      <c r="C4" s="5">
        <v>0.66800000000000004</v>
      </c>
      <c r="D4">
        <v>-120</v>
      </c>
      <c r="E4" s="7">
        <v>10</v>
      </c>
      <c r="F4" t="s">
        <v>32</v>
      </c>
      <c r="G4" t="s">
        <v>11</v>
      </c>
      <c r="H4" s="7">
        <f t="shared" si="0"/>
        <v>8.3333333333333339</v>
      </c>
      <c r="I4" s="7">
        <f t="shared" si="2"/>
        <v>264.58333333333331</v>
      </c>
      <c r="J4" s="7">
        <f t="shared" si="3"/>
        <v>60</v>
      </c>
      <c r="K4" s="7">
        <f t="shared" si="1"/>
        <v>204.58333333333331</v>
      </c>
      <c r="L4" s="4">
        <f>IF(DailyTable[[#This Row],[Result (Win/Loss)]]="Win",1,0)</f>
        <v>1</v>
      </c>
      <c r="M4" s="5">
        <f>DailyTable[[#This Row],[Total Profit]]/DailyTable[[#This Row],[Investment]]</f>
        <v>3.4097222222222219</v>
      </c>
    </row>
    <row r="5" spans="1:13" x14ac:dyDescent="0.35">
      <c r="A5" s="3">
        <v>45685</v>
      </c>
      <c r="B5" t="s">
        <v>10</v>
      </c>
      <c r="C5" s="5">
        <v>0.63</v>
      </c>
      <c r="D5">
        <v>222</v>
      </c>
      <c r="E5" s="7">
        <v>35</v>
      </c>
      <c r="F5" t="s">
        <v>22</v>
      </c>
      <c r="G5" t="s">
        <v>29</v>
      </c>
      <c r="H5" s="7">
        <f t="shared" si="0"/>
        <v>-35</v>
      </c>
      <c r="I5" s="7">
        <f t="shared" si="2"/>
        <v>264.58333333333331</v>
      </c>
      <c r="J5" s="7">
        <f t="shared" si="3"/>
        <v>95</v>
      </c>
      <c r="K5" s="7">
        <f t="shared" si="1"/>
        <v>169.58333333333331</v>
      </c>
      <c r="L5" s="4">
        <f>IF(DailyTable[[#This Row],[Result (Win/Loss)]]="Win",1,0)</f>
        <v>0</v>
      </c>
      <c r="M5" s="5">
        <f>DailyTable[[#This Row],[Total Profit]]/DailyTable[[#This Row],[Investment]]</f>
        <v>1.7850877192982455</v>
      </c>
    </row>
    <row r="6" spans="1:13" x14ac:dyDescent="0.35">
      <c r="A6" s="3">
        <v>45686</v>
      </c>
      <c r="B6" t="s">
        <v>10</v>
      </c>
      <c r="C6" s="5">
        <v>0.49099999999999999</v>
      </c>
      <c r="D6">
        <v>643</v>
      </c>
      <c r="E6" s="7">
        <v>50</v>
      </c>
      <c r="F6" t="s">
        <v>22</v>
      </c>
      <c r="G6" t="s">
        <v>29</v>
      </c>
      <c r="H6" s="7">
        <f t="shared" si="0"/>
        <v>-50</v>
      </c>
      <c r="I6" s="7">
        <f t="shared" si="2"/>
        <v>264.58333333333331</v>
      </c>
      <c r="J6" s="7">
        <f t="shared" si="3"/>
        <v>145</v>
      </c>
      <c r="K6" s="7">
        <f t="shared" si="1"/>
        <v>119.58333333333331</v>
      </c>
      <c r="L6" s="4">
        <f>IF(DailyTable[[#This Row],[Result (Win/Loss)]]="Win",1,0)</f>
        <v>0</v>
      </c>
      <c r="M6" s="5">
        <f>DailyTable[[#This Row],[Total Profit]]/DailyTable[[#This Row],[Investment]]</f>
        <v>0.82471264367816077</v>
      </c>
    </row>
    <row r="7" spans="1:13" x14ac:dyDescent="0.35">
      <c r="A7" s="3">
        <v>45686</v>
      </c>
      <c r="B7" t="s">
        <v>12</v>
      </c>
      <c r="C7" s="5">
        <v>0.46100000000000002</v>
      </c>
      <c r="D7">
        <v>358</v>
      </c>
      <c r="E7" s="7">
        <v>50</v>
      </c>
      <c r="F7" t="s">
        <v>22</v>
      </c>
      <c r="G7" t="s">
        <v>29</v>
      </c>
      <c r="H7" s="7">
        <f t="shared" si="0"/>
        <v>-50</v>
      </c>
      <c r="I7" s="7">
        <f t="shared" si="2"/>
        <v>264.58333333333331</v>
      </c>
      <c r="J7" s="7">
        <f t="shared" si="3"/>
        <v>195</v>
      </c>
      <c r="K7" s="7">
        <f t="shared" si="1"/>
        <v>69.583333333333314</v>
      </c>
      <c r="L7" s="4">
        <f>IF(DailyTable[[#This Row],[Result (Win/Loss)]]="Win",1,0)</f>
        <v>0</v>
      </c>
      <c r="M7" s="5">
        <f>DailyTable[[#This Row],[Total Profit]]/DailyTable[[#This Row],[Investment]]</f>
        <v>0.35683760683760674</v>
      </c>
    </row>
    <row r="8" spans="1:13" x14ac:dyDescent="0.35">
      <c r="A8" s="3">
        <v>45686</v>
      </c>
      <c r="B8" t="s">
        <v>13</v>
      </c>
      <c r="C8" s="5">
        <v>0.54700000000000004</v>
      </c>
      <c r="D8">
        <v>187</v>
      </c>
      <c r="E8" s="7">
        <v>50</v>
      </c>
      <c r="F8" t="s">
        <v>22</v>
      </c>
      <c r="G8" t="s">
        <v>11</v>
      </c>
      <c r="H8" s="7">
        <f t="shared" si="0"/>
        <v>93.5</v>
      </c>
      <c r="I8" s="7">
        <f t="shared" si="2"/>
        <v>408.08333333333331</v>
      </c>
      <c r="J8" s="7">
        <f t="shared" si="3"/>
        <v>245</v>
      </c>
      <c r="K8" s="7">
        <f t="shared" ref="K8:K36" si="4">I8-J8</f>
        <v>163.08333333333331</v>
      </c>
      <c r="L8" s="4">
        <f>IF(DailyTable[[#This Row],[Result (Win/Loss)]]="Win",1,0)</f>
        <v>1</v>
      </c>
      <c r="M8" s="5">
        <f>DailyTable[[#This Row],[Total Profit]]/DailyTable[[#This Row],[Investment]]</f>
        <v>0.66564625850340131</v>
      </c>
    </row>
    <row r="9" spans="1:13" x14ac:dyDescent="0.35">
      <c r="A9" s="3">
        <v>45687</v>
      </c>
      <c r="B9" t="s">
        <v>10</v>
      </c>
      <c r="C9" s="5">
        <v>0.32400000000000001</v>
      </c>
      <c r="D9">
        <v>932</v>
      </c>
      <c r="E9" s="7">
        <v>50</v>
      </c>
      <c r="F9" t="s">
        <v>30</v>
      </c>
      <c r="G9" t="s">
        <v>29</v>
      </c>
      <c r="H9" s="7">
        <f t="shared" si="0"/>
        <v>-50</v>
      </c>
      <c r="I9" s="7">
        <f t="shared" si="2"/>
        <v>408.08333333333331</v>
      </c>
      <c r="J9" s="7">
        <f t="shared" si="3"/>
        <v>295</v>
      </c>
      <c r="K9" s="7">
        <f t="shared" si="4"/>
        <v>113.08333333333331</v>
      </c>
      <c r="L9" s="4">
        <f>IF(DailyTable[[#This Row],[Result (Win/Loss)]]="Win",1,0)</f>
        <v>0</v>
      </c>
      <c r="M9" s="5">
        <f>DailyTable[[#This Row],[Total Profit]]/DailyTable[[#This Row],[Investment]]</f>
        <v>0.38333333333333325</v>
      </c>
    </row>
    <row r="10" spans="1:13" x14ac:dyDescent="0.35">
      <c r="A10" s="3">
        <v>45688</v>
      </c>
      <c r="B10" t="s">
        <v>10</v>
      </c>
      <c r="C10" s="5">
        <v>0.61799999999999999</v>
      </c>
      <c r="D10">
        <v>578</v>
      </c>
      <c r="E10" s="7">
        <v>10</v>
      </c>
      <c r="F10" t="s">
        <v>32</v>
      </c>
      <c r="G10" t="s">
        <v>29</v>
      </c>
      <c r="H10" s="7">
        <f t="shared" si="0"/>
        <v>-10</v>
      </c>
      <c r="I10" s="7">
        <f t="shared" si="2"/>
        <v>408.08333333333331</v>
      </c>
      <c r="J10" s="7">
        <f t="shared" si="3"/>
        <v>305</v>
      </c>
      <c r="K10" s="7">
        <f t="shared" si="4"/>
        <v>103.08333333333331</v>
      </c>
      <c r="L10" s="4">
        <f>IF(DailyTable[[#This Row],[Result (Win/Loss)]]="Win",1,0)</f>
        <v>0</v>
      </c>
      <c r="M10" s="5">
        <f>DailyTable[[#This Row],[Total Profit]]/DailyTable[[#This Row],[Investment]]</f>
        <v>0.33797814207650267</v>
      </c>
    </row>
    <row r="11" spans="1:13" x14ac:dyDescent="0.35">
      <c r="A11" s="3">
        <v>45688</v>
      </c>
      <c r="B11" t="s">
        <v>12</v>
      </c>
      <c r="C11" s="5">
        <v>0.48599999999999999</v>
      </c>
      <c r="D11">
        <v>782</v>
      </c>
      <c r="E11" s="7">
        <v>25</v>
      </c>
      <c r="F11" t="s">
        <v>22</v>
      </c>
      <c r="G11" t="s">
        <v>29</v>
      </c>
      <c r="H11" s="7">
        <f t="shared" si="0"/>
        <v>-25</v>
      </c>
      <c r="I11" s="7">
        <f t="shared" si="2"/>
        <v>408.08333333333331</v>
      </c>
      <c r="J11" s="7">
        <f t="shared" si="3"/>
        <v>330</v>
      </c>
      <c r="K11" s="7">
        <f t="shared" si="4"/>
        <v>78.083333333333314</v>
      </c>
      <c r="L11" s="4">
        <f>IF(DailyTable[[#This Row],[Result (Win/Loss)]]="Win",1,0)</f>
        <v>0</v>
      </c>
      <c r="M11" s="5">
        <f>DailyTable[[#This Row],[Total Profit]]/DailyTable[[#This Row],[Investment]]</f>
        <v>0.23661616161616156</v>
      </c>
    </row>
    <row r="12" spans="1:13" x14ac:dyDescent="0.35">
      <c r="A12" s="3">
        <v>45688</v>
      </c>
      <c r="B12" t="s">
        <v>13</v>
      </c>
      <c r="C12" s="5">
        <v>0.59299999999999997</v>
      </c>
      <c r="D12">
        <v>255</v>
      </c>
      <c r="E12" s="7">
        <v>25</v>
      </c>
      <c r="F12" t="s">
        <v>22</v>
      </c>
      <c r="G12" t="s">
        <v>29</v>
      </c>
      <c r="H12" s="7">
        <f t="shared" si="0"/>
        <v>-25</v>
      </c>
      <c r="I12" s="7">
        <f t="shared" si="2"/>
        <v>408.08333333333331</v>
      </c>
      <c r="J12" s="7">
        <f t="shared" si="3"/>
        <v>355</v>
      </c>
      <c r="K12" s="7">
        <f t="shared" si="4"/>
        <v>53.083333333333314</v>
      </c>
      <c r="L12" s="4">
        <f>IF(DailyTable[[#This Row],[Result (Win/Loss)]]="Win",1,0)</f>
        <v>0</v>
      </c>
      <c r="M12" s="5">
        <f>DailyTable[[#This Row],[Total Profit]]/DailyTable[[#This Row],[Investment]]</f>
        <v>0.14953051643192483</v>
      </c>
    </row>
    <row r="13" spans="1:13" x14ac:dyDescent="0.35">
      <c r="A13" s="3">
        <v>45688</v>
      </c>
      <c r="B13" t="s">
        <v>31</v>
      </c>
      <c r="C13" s="5">
        <v>0.42899999999999999</v>
      </c>
      <c r="D13">
        <v>946</v>
      </c>
      <c r="E13" s="7">
        <v>25</v>
      </c>
      <c r="F13" t="s">
        <v>22</v>
      </c>
      <c r="G13" t="s">
        <v>29</v>
      </c>
      <c r="H13" s="7">
        <f t="shared" si="0"/>
        <v>-25</v>
      </c>
      <c r="I13" s="7">
        <f t="shared" si="2"/>
        <v>408.08333333333331</v>
      </c>
      <c r="J13" s="7">
        <f t="shared" si="3"/>
        <v>380</v>
      </c>
      <c r="K13" s="7">
        <f t="shared" si="4"/>
        <v>28.083333333333314</v>
      </c>
      <c r="L13" s="4">
        <f>IF(DailyTable[[#This Row],[Result (Win/Loss)]]="Win",1,0)</f>
        <v>0</v>
      </c>
      <c r="M13" s="5">
        <f>DailyTable[[#This Row],[Total Profit]]/DailyTable[[#This Row],[Investment]]</f>
        <v>7.3903508771929777E-2</v>
      </c>
    </row>
    <row r="14" spans="1:13" x14ac:dyDescent="0.35">
      <c r="A14" s="3">
        <v>45689</v>
      </c>
      <c r="B14" t="s">
        <v>10</v>
      </c>
      <c r="C14" s="5">
        <v>0.45800000000000002</v>
      </c>
      <c r="D14">
        <v>291</v>
      </c>
      <c r="E14" s="7">
        <v>50</v>
      </c>
      <c r="F14" t="s">
        <v>30</v>
      </c>
      <c r="G14" t="s">
        <v>11</v>
      </c>
      <c r="H14" s="7">
        <f t="shared" si="0"/>
        <v>145.5</v>
      </c>
      <c r="I14" s="7">
        <f t="shared" si="2"/>
        <v>603.58333333333326</v>
      </c>
      <c r="J14" s="7">
        <f t="shared" si="3"/>
        <v>430</v>
      </c>
      <c r="K14" s="7">
        <f t="shared" si="4"/>
        <v>173.58333333333326</v>
      </c>
      <c r="L14" s="4">
        <f>IF(DailyTable[[#This Row],[Result (Win/Loss)]]="Win",1,0)</f>
        <v>1</v>
      </c>
      <c r="M14" s="5">
        <f>DailyTable[[#This Row],[Total Profit]]/DailyTable[[#This Row],[Investment]]</f>
        <v>0.4036821705426355</v>
      </c>
    </row>
    <row r="15" spans="1:13" x14ac:dyDescent="0.35">
      <c r="A15" s="3">
        <v>45689</v>
      </c>
      <c r="B15" t="s">
        <v>12</v>
      </c>
      <c r="C15" s="5">
        <v>0.25</v>
      </c>
      <c r="D15">
        <v>850</v>
      </c>
      <c r="E15" s="7">
        <v>50</v>
      </c>
      <c r="F15" t="s">
        <v>22</v>
      </c>
      <c r="G15" t="s">
        <v>11</v>
      </c>
      <c r="H15" s="7">
        <f t="shared" si="0"/>
        <v>425</v>
      </c>
      <c r="I15" s="7">
        <f t="shared" si="2"/>
        <v>1078.5833333333333</v>
      </c>
      <c r="J15" s="7">
        <f t="shared" si="3"/>
        <v>480</v>
      </c>
      <c r="K15" s="7">
        <f t="shared" si="4"/>
        <v>598.58333333333326</v>
      </c>
      <c r="L15" s="4">
        <f>IF(DailyTable[[#This Row],[Result (Win/Loss)]]="Win",1,0)</f>
        <v>1</v>
      </c>
      <c r="M15" s="5">
        <f>DailyTable[[#This Row],[Total Profit]]/DailyTable[[#This Row],[Investment]]</f>
        <v>1.247048611111111</v>
      </c>
    </row>
    <row r="16" spans="1:13" x14ac:dyDescent="0.35">
      <c r="A16" s="3">
        <v>45690</v>
      </c>
      <c r="B16" t="s">
        <v>10</v>
      </c>
      <c r="C16" s="5">
        <v>0.42399999999999999</v>
      </c>
      <c r="D16">
        <v>307</v>
      </c>
      <c r="E16" s="7">
        <v>50</v>
      </c>
      <c r="F16" t="s">
        <v>22</v>
      </c>
      <c r="G16" t="s">
        <v>11</v>
      </c>
      <c r="H16" s="7">
        <f t="shared" si="0"/>
        <v>153.5</v>
      </c>
      <c r="I16" s="7">
        <f t="shared" si="2"/>
        <v>1282.0833333333333</v>
      </c>
      <c r="J16" s="7">
        <f t="shared" si="3"/>
        <v>530</v>
      </c>
      <c r="K16" s="7">
        <f t="shared" si="4"/>
        <v>752.08333333333326</v>
      </c>
      <c r="L16" s="4">
        <f>IF(DailyTable[[#This Row],[Result (Win/Loss)]]="Win",1,0)</f>
        <v>1</v>
      </c>
      <c r="M16" s="5">
        <f>DailyTable[[#This Row],[Total Profit]]/DailyTable[[#This Row],[Investment]]</f>
        <v>1.4190251572327042</v>
      </c>
    </row>
    <row r="17" spans="1:13" x14ac:dyDescent="0.35">
      <c r="A17" s="3">
        <v>45691</v>
      </c>
      <c r="B17" t="s">
        <v>10</v>
      </c>
      <c r="C17" s="5">
        <v>0.47</v>
      </c>
      <c r="D17">
        <v>845</v>
      </c>
      <c r="E17" s="7">
        <v>25</v>
      </c>
      <c r="F17" t="s">
        <v>30</v>
      </c>
      <c r="G17" t="s">
        <v>29</v>
      </c>
      <c r="H17" s="7">
        <f t="shared" si="0"/>
        <v>-25</v>
      </c>
      <c r="I17" s="7">
        <f t="shared" si="2"/>
        <v>1282.0833333333333</v>
      </c>
      <c r="J17" s="7">
        <f t="shared" si="3"/>
        <v>555</v>
      </c>
      <c r="K17" s="7">
        <f t="shared" si="4"/>
        <v>727.08333333333326</v>
      </c>
      <c r="L17" s="4">
        <f>IF(DailyTable[[#This Row],[Result (Win/Loss)]]="Win",1,0)</f>
        <v>0</v>
      </c>
      <c r="M17" s="5">
        <f>DailyTable[[#This Row],[Total Profit]]/DailyTable[[#This Row],[Investment]]</f>
        <v>1.3100600600600598</v>
      </c>
    </row>
    <row r="18" spans="1:13" x14ac:dyDescent="0.35">
      <c r="A18" s="3">
        <v>45691</v>
      </c>
      <c r="B18" t="s">
        <v>12</v>
      </c>
      <c r="C18" s="5">
        <v>0.432</v>
      </c>
      <c r="D18">
        <v>440</v>
      </c>
      <c r="E18" s="7">
        <v>25</v>
      </c>
      <c r="F18" t="s">
        <v>30</v>
      </c>
      <c r="G18" t="s">
        <v>11</v>
      </c>
      <c r="H18" s="7">
        <f t="shared" si="0"/>
        <v>110</v>
      </c>
      <c r="I18" s="7">
        <f t="shared" si="2"/>
        <v>1417.0833333333333</v>
      </c>
      <c r="J18" s="7">
        <f t="shared" si="3"/>
        <v>580</v>
      </c>
      <c r="K18" s="7">
        <f t="shared" si="4"/>
        <v>837.08333333333326</v>
      </c>
      <c r="L18" s="4">
        <f>IF(DailyTable[[#This Row],[Result (Win/Loss)]]="Win",1,0)</f>
        <v>1</v>
      </c>
      <c r="M18" s="5">
        <f>DailyTable[[#This Row],[Total Profit]]/DailyTable[[#This Row],[Investment]]</f>
        <v>1.4432471264367814</v>
      </c>
    </row>
    <row r="19" spans="1:13" x14ac:dyDescent="0.35">
      <c r="A19" s="3">
        <v>45691</v>
      </c>
      <c r="B19" t="s">
        <v>13</v>
      </c>
      <c r="C19" s="5">
        <v>0.61799999999999999</v>
      </c>
      <c r="D19">
        <v>517</v>
      </c>
      <c r="E19" s="7">
        <v>25</v>
      </c>
      <c r="F19" t="s">
        <v>22</v>
      </c>
      <c r="G19" t="s">
        <v>29</v>
      </c>
      <c r="H19" s="7">
        <f t="shared" si="0"/>
        <v>-25</v>
      </c>
      <c r="I19" s="7">
        <f t="shared" si="2"/>
        <v>1417.0833333333333</v>
      </c>
      <c r="J19" s="7">
        <f t="shared" si="3"/>
        <v>605</v>
      </c>
      <c r="K19" s="7">
        <f t="shared" si="4"/>
        <v>812.08333333333326</v>
      </c>
      <c r="L19" s="4">
        <f>IF(DailyTable[[#This Row],[Result (Win/Loss)]]="Win",1,0)</f>
        <v>0</v>
      </c>
      <c r="M19" s="5">
        <f>DailyTable[[#This Row],[Total Profit]]/DailyTable[[#This Row],[Investment]]</f>
        <v>1.3422865013774103</v>
      </c>
    </row>
    <row r="20" spans="1:13" x14ac:dyDescent="0.35">
      <c r="A20" s="3">
        <v>45691</v>
      </c>
      <c r="B20" t="s">
        <v>31</v>
      </c>
      <c r="C20" s="5">
        <v>0.76800000000000002</v>
      </c>
      <c r="D20">
        <v>244</v>
      </c>
      <c r="E20" s="7">
        <v>25</v>
      </c>
      <c r="F20" t="s">
        <v>22</v>
      </c>
      <c r="G20" t="s">
        <v>29</v>
      </c>
      <c r="H20" s="7">
        <f t="shared" si="0"/>
        <v>-25</v>
      </c>
      <c r="I20" s="7">
        <f t="shared" si="2"/>
        <v>1417.0833333333333</v>
      </c>
      <c r="J20" s="7">
        <f t="shared" si="3"/>
        <v>630</v>
      </c>
      <c r="K20" s="7">
        <f t="shared" si="4"/>
        <v>787.08333333333326</v>
      </c>
      <c r="L20" s="4">
        <f>IF(DailyTable[[#This Row],[Result (Win/Loss)]]="Win",1,0)</f>
        <v>0</v>
      </c>
      <c r="M20" s="5">
        <f>DailyTable[[#This Row],[Total Profit]]/DailyTable[[#This Row],[Investment]]</f>
        <v>1.2493386243386242</v>
      </c>
    </row>
    <row r="21" spans="1:13" x14ac:dyDescent="0.35">
      <c r="A21" s="3">
        <v>45691</v>
      </c>
      <c r="B21" t="s">
        <v>33</v>
      </c>
      <c r="C21" s="5">
        <v>0.55700000000000005</v>
      </c>
      <c r="D21">
        <v>236</v>
      </c>
      <c r="E21" s="7">
        <v>25</v>
      </c>
      <c r="F21" t="s">
        <v>22</v>
      </c>
      <c r="G21" t="s">
        <v>11</v>
      </c>
      <c r="H21" s="7">
        <f t="shared" si="0"/>
        <v>59</v>
      </c>
      <c r="I21" s="7">
        <f t="shared" si="2"/>
        <v>1501.0833333333333</v>
      </c>
      <c r="J21" s="7">
        <f t="shared" si="3"/>
        <v>655</v>
      </c>
      <c r="K21" s="7">
        <f t="shared" si="4"/>
        <v>846.08333333333326</v>
      </c>
      <c r="L21" s="4">
        <f>IF(DailyTable[[#This Row],[Result (Win/Loss)]]="Win",1,0)</f>
        <v>1</v>
      </c>
      <c r="M21" s="5">
        <f>DailyTable[[#This Row],[Total Profit]]/DailyTable[[#This Row],[Investment]]</f>
        <v>1.2917302798982186</v>
      </c>
    </row>
    <row r="22" spans="1:13" x14ac:dyDescent="0.35">
      <c r="A22" s="3">
        <v>45691</v>
      </c>
      <c r="B22" t="s">
        <v>34</v>
      </c>
      <c r="C22" s="5">
        <v>0.52200000000000002</v>
      </c>
      <c r="D22">
        <v>454</v>
      </c>
      <c r="E22" s="7">
        <v>25</v>
      </c>
      <c r="F22" t="s">
        <v>22</v>
      </c>
      <c r="G22" t="s">
        <v>11</v>
      </c>
      <c r="H22" s="7">
        <f t="shared" si="0"/>
        <v>113.5</v>
      </c>
      <c r="I22" s="7">
        <f t="shared" si="2"/>
        <v>1639.5833333333333</v>
      </c>
      <c r="J22" s="7">
        <f t="shared" si="3"/>
        <v>680</v>
      </c>
      <c r="K22" s="7">
        <f t="shared" si="4"/>
        <v>959.58333333333326</v>
      </c>
      <c r="L22" s="4">
        <f>IF(DailyTable[[#This Row],[Result (Win/Loss)]]="Win",1,0)</f>
        <v>1</v>
      </c>
      <c r="M22" s="5">
        <f>DailyTable[[#This Row],[Total Profit]]/DailyTable[[#This Row],[Investment]]</f>
        <v>1.4111519607843137</v>
      </c>
    </row>
    <row r="23" spans="1:13" x14ac:dyDescent="0.35">
      <c r="A23" s="3">
        <v>45691</v>
      </c>
      <c r="B23" t="s">
        <v>35</v>
      </c>
      <c r="C23" s="5">
        <v>0.44800000000000001</v>
      </c>
      <c r="D23">
        <v>541</v>
      </c>
      <c r="E23" s="7">
        <v>25</v>
      </c>
      <c r="F23" t="s">
        <v>22</v>
      </c>
      <c r="G23" t="s">
        <v>11</v>
      </c>
      <c r="H23" s="7">
        <f t="shared" si="0"/>
        <v>135.25</v>
      </c>
      <c r="I23" s="7">
        <f t="shared" si="2"/>
        <v>1799.8333333333333</v>
      </c>
      <c r="J23" s="7">
        <f t="shared" si="3"/>
        <v>705</v>
      </c>
      <c r="K23" s="7">
        <f t="shared" si="4"/>
        <v>1094.8333333333333</v>
      </c>
      <c r="L23" s="4">
        <f>IF(DailyTable[[#This Row],[Result (Win/Loss)]]="Win",1,0)</f>
        <v>1</v>
      </c>
      <c r="M23" s="5">
        <f>DailyTable[[#This Row],[Total Profit]]/DailyTable[[#This Row],[Investment]]</f>
        <v>1.5529550827423166</v>
      </c>
    </row>
    <row r="24" spans="1:13" x14ac:dyDescent="0.35">
      <c r="A24" s="3">
        <v>45691</v>
      </c>
      <c r="B24" t="s">
        <v>36</v>
      </c>
      <c r="C24" s="5">
        <v>0.65900000000000003</v>
      </c>
      <c r="D24">
        <v>233</v>
      </c>
      <c r="E24" s="7">
        <v>25</v>
      </c>
      <c r="F24" t="s">
        <v>22</v>
      </c>
      <c r="G24" t="s">
        <v>29</v>
      </c>
      <c r="H24" s="7">
        <f t="shared" si="0"/>
        <v>-25</v>
      </c>
      <c r="I24" s="7">
        <f t="shared" si="2"/>
        <v>1799.8333333333333</v>
      </c>
      <c r="J24" s="7">
        <f t="shared" si="3"/>
        <v>730</v>
      </c>
      <c r="K24" s="7">
        <f t="shared" si="4"/>
        <v>1069.8333333333333</v>
      </c>
      <c r="L24" s="4">
        <f>IF(DailyTable[[#This Row],[Result (Win/Loss)]]="Win",1,0)</f>
        <v>0</v>
      </c>
      <c r="M24" s="5">
        <f>DailyTable[[#This Row],[Total Profit]]/DailyTable[[#This Row],[Investment]]</f>
        <v>1.465525114155251</v>
      </c>
    </row>
    <row r="25" spans="1:13" x14ac:dyDescent="0.35">
      <c r="A25" s="3">
        <v>45692</v>
      </c>
      <c r="B25" t="s">
        <v>10</v>
      </c>
      <c r="C25" s="5">
        <v>0.45900000000000002</v>
      </c>
      <c r="D25">
        <v>609</v>
      </c>
      <c r="E25" s="7">
        <v>50</v>
      </c>
      <c r="F25" t="s">
        <v>22</v>
      </c>
      <c r="G25" t="s">
        <v>29</v>
      </c>
      <c r="H25" s="7">
        <f t="shared" si="0"/>
        <v>-50</v>
      </c>
      <c r="I25" s="7">
        <f t="shared" si="2"/>
        <v>1799.8333333333333</v>
      </c>
      <c r="J25" s="7">
        <f t="shared" si="3"/>
        <v>780</v>
      </c>
      <c r="K25" s="7">
        <f t="shared" si="4"/>
        <v>1019.8333333333333</v>
      </c>
      <c r="L25" s="4">
        <f>IF(DailyTable[[#This Row],[Result (Win/Loss)]]="Win",1,0)</f>
        <v>0</v>
      </c>
      <c r="M25" s="5">
        <f>DailyTable[[#This Row],[Total Profit]]/DailyTable[[#This Row],[Investment]]</f>
        <v>1.3074786324786323</v>
      </c>
    </row>
    <row r="26" spans="1:13" x14ac:dyDescent="0.35">
      <c r="A26" s="3">
        <v>45693</v>
      </c>
      <c r="B26" t="s">
        <v>10</v>
      </c>
      <c r="C26" s="5">
        <v>0.58699999999999997</v>
      </c>
      <c r="D26">
        <v>550</v>
      </c>
      <c r="E26" s="7">
        <v>25</v>
      </c>
      <c r="F26" t="s">
        <v>32</v>
      </c>
      <c r="G26" t="s">
        <v>29</v>
      </c>
      <c r="H26" s="7">
        <f t="shared" si="0"/>
        <v>-25</v>
      </c>
      <c r="I26" s="7">
        <f t="shared" si="2"/>
        <v>1799.8333333333333</v>
      </c>
      <c r="J26" s="7">
        <f t="shared" si="3"/>
        <v>805</v>
      </c>
      <c r="K26" s="7">
        <f t="shared" si="4"/>
        <v>994.83333333333326</v>
      </c>
      <c r="L26" s="4">
        <f>IF(DailyTable[[#This Row],[Result (Win/Loss)]]="Win",1,0)</f>
        <v>0</v>
      </c>
      <c r="M26" s="5">
        <f>DailyTable[[#This Row],[Total Profit]]/DailyTable[[#This Row],[Investment]]</f>
        <v>1.2358178053830227</v>
      </c>
    </row>
    <row r="27" spans="1:13" x14ac:dyDescent="0.35">
      <c r="A27" s="3">
        <v>45693</v>
      </c>
      <c r="B27" t="s">
        <v>12</v>
      </c>
      <c r="C27" s="5">
        <v>0.79500000000000004</v>
      </c>
      <c r="D27">
        <v>238</v>
      </c>
      <c r="E27" s="7">
        <v>25</v>
      </c>
      <c r="F27" t="s">
        <v>32</v>
      </c>
      <c r="G27" t="s">
        <v>29</v>
      </c>
      <c r="H27" s="7">
        <f t="shared" si="0"/>
        <v>-25</v>
      </c>
      <c r="I27" s="7">
        <f t="shared" si="2"/>
        <v>1799.8333333333333</v>
      </c>
      <c r="J27" s="7">
        <f t="shared" si="3"/>
        <v>830</v>
      </c>
      <c r="K27" s="7">
        <f t="shared" si="4"/>
        <v>969.83333333333326</v>
      </c>
      <c r="L27" s="4">
        <f>IF(DailyTable[[#This Row],[Result (Win/Loss)]]="Win",1,0)</f>
        <v>0</v>
      </c>
      <c r="M27" s="5">
        <f>DailyTable[[#This Row],[Total Profit]]/DailyTable[[#This Row],[Investment]]</f>
        <v>1.1684738955823293</v>
      </c>
    </row>
    <row r="28" spans="1:13" x14ac:dyDescent="0.35">
      <c r="A28" s="3">
        <v>45693</v>
      </c>
      <c r="B28" t="s">
        <v>13</v>
      </c>
      <c r="C28" s="5">
        <v>0.83899999999999997</v>
      </c>
      <c r="D28">
        <v>211</v>
      </c>
      <c r="E28" s="7">
        <v>25</v>
      </c>
      <c r="F28" t="s">
        <v>32</v>
      </c>
      <c r="G28" t="s">
        <v>29</v>
      </c>
      <c r="H28" s="7">
        <f t="shared" si="0"/>
        <v>-25</v>
      </c>
      <c r="I28" s="7">
        <f t="shared" si="2"/>
        <v>1799.8333333333333</v>
      </c>
      <c r="J28" s="7">
        <f t="shared" si="3"/>
        <v>855</v>
      </c>
      <c r="K28" s="7">
        <f t="shared" si="4"/>
        <v>944.83333333333326</v>
      </c>
      <c r="L28" s="4">
        <f>IF(DailyTable[[#This Row],[Result (Win/Loss)]]="Win",1,0)</f>
        <v>0</v>
      </c>
      <c r="M28" s="5">
        <f>DailyTable[[#This Row],[Total Profit]]/DailyTable[[#This Row],[Investment]]</f>
        <v>1.1050682261208575</v>
      </c>
    </row>
    <row r="29" spans="1:13" x14ac:dyDescent="0.35">
      <c r="A29" s="3">
        <v>45693</v>
      </c>
      <c r="B29" t="s">
        <v>31</v>
      </c>
      <c r="C29" s="5">
        <v>0.46700000000000003</v>
      </c>
      <c r="D29">
        <v>2120</v>
      </c>
      <c r="E29" s="7">
        <v>25</v>
      </c>
      <c r="F29" t="s">
        <v>22</v>
      </c>
      <c r="G29" t="s">
        <v>29</v>
      </c>
      <c r="H29" s="7">
        <f t="shared" si="0"/>
        <v>-25</v>
      </c>
      <c r="I29" s="7">
        <f t="shared" si="2"/>
        <v>1799.8333333333333</v>
      </c>
      <c r="J29" s="7">
        <f t="shared" si="3"/>
        <v>880</v>
      </c>
      <c r="K29" s="7">
        <f t="shared" si="4"/>
        <v>919.83333333333326</v>
      </c>
      <c r="L29" s="4">
        <f>IF(DailyTable[[#This Row],[Result (Win/Loss)]]="Win",1,0)</f>
        <v>0</v>
      </c>
      <c r="M29" s="5">
        <f>DailyTable[[#This Row],[Total Profit]]/DailyTable[[#This Row],[Investment]]</f>
        <v>1.0452651515151514</v>
      </c>
    </row>
    <row r="30" spans="1:13" x14ac:dyDescent="0.35">
      <c r="A30" s="3">
        <v>45693</v>
      </c>
      <c r="B30" t="s">
        <v>33</v>
      </c>
      <c r="C30" s="5">
        <v>0.747</v>
      </c>
      <c r="D30">
        <v>429</v>
      </c>
      <c r="E30" s="7">
        <v>25</v>
      </c>
      <c r="F30" t="s">
        <v>22</v>
      </c>
      <c r="G30" t="s">
        <v>29</v>
      </c>
      <c r="H30" s="7">
        <f t="shared" si="0"/>
        <v>-25</v>
      </c>
      <c r="I30" s="7">
        <f t="shared" si="2"/>
        <v>1799.8333333333333</v>
      </c>
      <c r="J30" s="7">
        <f t="shared" si="3"/>
        <v>905</v>
      </c>
      <c r="K30" s="7">
        <f t="shared" si="4"/>
        <v>894.83333333333326</v>
      </c>
      <c r="L30" s="4">
        <f>IF(DailyTable[[#This Row],[Result (Win/Loss)]]="Win",1,0)</f>
        <v>0</v>
      </c>
      <c r="M30" s="5">
        <f>DailyTable[[#This Row],[Total Profit]]/DailyTable[[#This Row],[Investment]]</f>
        <v>0.98876611418047877</v>
      </c>
    </row>
    <row r="31" spans="1:13" x14ac:dyDescent="0.35">
      <c r="A31" s="3">
        <v>45693</v>
      </c>
      <c r="B31" t="s">
        <v>34</v>
      </c>
      <c r="C31" s="5">
        <v>0.36599999999999999</v>
      </c>
      <c r="D31">
        <v>556</v>
      </c>
      <c r="E31" s="7">
        <v>25</v>
      </c>
      <c r="F31" t="s">
        <v>22</v>
      </c>
      <c r="G31" t="s">
        <v>11</v>
      </c>
      <c r="H31" s="7">
        <f t="shared" si="0"/>
        <v>139</v>
      </c>
      <c r="I31" s="7">
        <f t="shared" si="2"/>
        <v>1963.8333333333333</v>
      </c>
      <c r="J31" s="7">
        <f t="shared" si="3"/>
        <v>930</v>
      </c>
      <c r="K31" s="7">
        <f t="shared" si="4"/>
        <v>1033.8333333333333</v>
      </c>
      <c r="L31" s="4">
        <f>IF(DailyTable[[#This Row],[Result (Win/Loss)]]="Win",1,0)</f>
        <v>1</v>
      </c>
      <c r="M31" s="5">
        <f>DailyTable[[#This Row],[Total Profit]]/DailyTable[[#This Row],[Investment]]</f>
        <v>1.1116487455197133</v>
      </c>
    </row>
    <row r="32" spans="1:13" x14ac:dyDescent="0.35">
      <c r="A32" s="3">
        <v>45693</v>
      </c>
      <c r="B32" t="s">
        <v>35</v>
      </c>
      <c r="C32" s="5">
        <v>0.39200000000000002</v>
      </c>
      <c r="D32">
        <v>4571</v>
      </c>
      <c r="E32" s="7">
        <v>25</v>
      </c>
      <c r="F32" t="s">
        <v>30</v>
      </c>
      <c r="G32" t="s">
        <v>29</v>
      </c>
      <c r="H32" s="7">
        <f t="shared" si="0"/>
        <v>-25</v>
      </c>
      <c r="I32" s="7">
        <f t="shared" si="2"/>
        <v>1963.8333333333333</v>
      </c>
      <c r="J32" s="7">
        <f t="shared" si="3"/>
        <v>955</v>
      </c>
      <c r="K32" s="7">
        <f t="shared" si="4"/>
        <v>1008.8333333333333</v>
      </c>
      <c r="L32" s="4">
        <f>IF(DailyTable[[#This Row],[Result (Win/Loss)]]="Win",1,0)</f>
        <v>0</v>
      </c>
      <c r="M32" s="5">
        <f>DailyTable[[#This Row],[Total Profit]]/DailyTable[[#This Row],[Investment]]</f>
        <v>1.0563699825479929</v>
      </c>
    </row>
    <row r="33" spans="1:13" x14ac:dyDescent="0.35">
      <c r="A33" s="3">
        <v>45693</v>
      </c>
      <c r="B33" t="s">
        <v>36</v>
      </c>
      <c r="C33" s="5">
        <v>0.29499999999999998</v>
      </c>
      <c r="D33">
        <v>1960</v>
      </c>
      <c r="E33" s="7">
        <v>25</v>
      </c>
      <c r="F33" t="s">
        <v>30</v>
      </c>
      <c r="G33" t="s">
        <v>29</v>
      </c>
      <c r="H33" s="7">
        <f t="shared" si="0"/>
        <v>-25</v>
      </c>
      <c r="I33" s="7">
        <f t="shared" si="2"/>
        <v>1963.8333333333333</v>
      </c>
      <c r="J33" s="7">
        <f t="shared" si="3"/>
        <v>980</v>
      </c>
      <c r="K33" s="7">
        <f t="shared" si="4"/>
        <v>983.83333333333326</v>
      </c>
      <c r="L33" s="4">
        <f>IF(DailyTable[[#This Row],[Result (Win/Loss)]]="Win",1,0)</f>
        <v>0</v>
      </c>
      <c r="M33" s="5">
        <f>DailyTable[[#This Row],[Total Profit]]/DailyTable[[#This Row],[Investment]]</f>
        <v>1.0039115646258503</v>
      </c>
    </row>
    <row r="34" spans="1:13" x14ac:dyDescent="0.35">
      <c r="A34" s="3">
        <v>45693</v>
      </c>
      <c r="B34" t="s">
        <v>37</v>
      </c>
      <c r="C34" s="5">
        <v>0.45800000000000002</v>
      </c>
      <c r="D34">
        <v>1076</v>
      </c>
      <c r="E34" s="7">
        <v>25</v>
      </c>
      <c r="F34" t="s">
        <v>30</v>
      </c>
      <c r="G34" t="s">
        <v>29</v>
      </c>
      <c r="H34" s="7">
        <f t="shared" si="0"/>
        <v>-25</v>
      </c>
      <c r="I34" s="7">
        <f t="shared" si="2"/>
        <v>1963.8333333333333</v>
      </c>
      <c r="J34" s="7">
        <f t="shared" si="3"/>
        <v>1005</v>
      </c>
      <c r="K34" s="7">
        <f t="shared" si="4"/>
        <v>958.83333333333326</v>
      </c>
      <c r="L34" s="4">
        <f>IF(DailyTable[[#This Row],[Result (Win/Loss)]]="Win",1,0)</f>
        <v>0</v>
      </c>
      <c r="M34" s="5">
        <f>DailyTable[[#This Row],[Total Profit]]/DailyTable[[#This Row],[Investment]]</f>
        <v>0.9540630182421227</v>
      </c>
    </row>
    <row r="35" spans="1:13" x14ac:dyDescent="0.35">
      <c r="A35" s="3">
        <v>45694</v>
      </c>
      <c r="B35" t="s">
        <v>10</v>
      </c>
      <c r="C35" s="5">
        <v>0.69</v>
      </c>
      <c r="D35">
        <v>128</v>
      </c>
      <c r="E35" s="7">
        <v>50</v>
      </c>
      <c r="F35" t="s">
        <v>32</v>
      </c>
      <c r="G35" t="s">
        <v>11</v>
      </c>
      <c r="H35" s="7">
        <f t="shared" si="0"/>
        <v>64</v>
      </c>
      <c r="I35" s="7">
        <f t="shared" si="2"/>
        <v>2077.833333333333</v>
      </c>
      <c r="J35" s="7">
        <f t="shared" si="3"/>
        <v>1055</v>
      </c>
      <c r="K35" s="7">
        <f t="shared" si="4"/>
        <v>1022.833333333333</v>
      </c>
      <c r="L35" s="4">
        <f>IF(DailyTable[[#This Row],[Result (Win/Loss)]]="Win",1,0)</f>
        <v>1</v>
      </c>
      <c r="M35" s="5">
        <f>DailyTable[[#This Row],[Total Profit]]/DailyTable[[#This Row],[Investment]]</f>
        <v>0.96951026856240097</v>
      </c>
    </row>
    <row r="36" spans="1:13" x14ac:dyDescent="0.35">
      <c r="A36" s="3">
        <v>45695</v>
      </c>
      <c r="B36" t="s">
        <v>10</v>
      </c>
      <c r="C36" s="5">
        <v>0.6</v>
      </c>
      <c r="D36">
        <v>395</v>
      </c>
      <c r="E36" s="7">
        <v>25</v>
      </c>
      <c r="F36" t="s">
        <v>22</v>
      </c>
      <c r="G36" t="s">
        <v>29</v>
      </c>
      <c r="H36" s="7">
        <f t="shared" si="0"/>
        <v>-25</v>
      </c>
      <c r="I36" s="7">
        <f t="shared" si="2"/>
        <v>2077.833333333333</v>
      </c>
      <c r="J36" s="7">
        <f t="shared" si="3"/>
        <v>1080</v>
      </c>
      <c r="K36" s="7">
        <f t="shared" si="4"/>
        <v>997.83333333333303</v>
      </c>
      <c r="L36" s="4">
        <f>IF(DailyTable[[#This Row],[Result (Win/Loss)]]="Win",1,0)</f>
        <v>0</v>
      </c>
      <c r="M36" s="5">
        <f>DailyTable[[#This Row],[Total Profit]]/DailyTable[[#This Row],[Investment]]</f>
        <v>0.92391975308641949</v>
      </c>
    </row>
    <row r="37" spans="1:13" x14ac:dyDescent="0.35">
      <c r="A37" s="3">
        <v>45695</v>
      </c>
      <c r="B37" t="s">
        <v>12</v>
      </c>
      <c r="C37" s="5">
        <v>0.48799999999999999</v>
      </c>
      <c r="D37">
        <v>550</v>
      </c>
      <c r="E37" s="7">
        <v>25</v>
      </c>
      <c r="F37" t="s">
        <v>30</v>
      </c>
      <c r="G37" t="s">
        <v>29</v>
      </c>
      <c r="H37" s="7">
        <f t="shared" ref="H37:H39" si="5">IF(G37="Win", IF(D37&gt;0, E37*D37/100, E37*100/ABS(D37)), -E37)</f>
        <v>-25</v>
      </c>
      <c r="I37" s="7">
        <f t="shared" ref="I37:I50" si="6">H37+E37+I36</f>
        <v>2077.833333333333</v>
      </c>
      <c r="J37" s="7">
        <f t="shared" ref="J37:J50" si="7">J36+E37</f>
        <v>1105</v>
      </c>
      <c r="K37" s="7">
        <f t="shared" ref="K37:K39" si="8">I37-J37</f>
        <v>972.83333333333303</v>
      </c>
      <c r="L37" s="4">
        <f>IF(DailyTable[[#This Row],[Result (Win/Loss)]]="Win",1,0)</f>
        <v>0</v>
      </c>
      <c r="M37" s="5">
        <f>DailyTable[[#This Row],[Total Profit]]/DailyTable[[#This Row],[Investment]]</f>
        <v>0.88039215686274486</v>
      </c>
    </row>
    <row r="38" spans="1:13" x14ac:dyDescent="0.35">
      <c r="A38" s="3">
        <v>45696</v>
      </c>
      <c r="B38" t="s">
        <v>10</v>
      </c>
      <c r="C38" s="5">
        <v>0.35899999999999999</v>
      </c>
      <c r="D38">
        <v>715</v>
      </c>
      <c r="E38" s="7">
        <v>25</v>
      </c>
      <c r="F38" t="s">
        <v>22</v>
      </c>
      <c r="G38" t="s">
        <v>29</v>
      </c>
      <c r="H38" s="7">
        <f t="shared" si="5"/>
        <v>-25</v>
      </c>
      <c r="I38" s="7">
        <f t="shared" si="6"/>
        <v>2077.833333333333</v>
      </c>
      <c r="J38" s="7">
        <f t="shared" si="7"/>
        <v>1130</v>
      </c>
      <c r="K38" s="7">
        <f t="shared" si="8"/>
        <v>947.83333333333303</v>
      </c>
      <c r="L38" s="4">
        <f>IF(DailyTable[[#This Row],[Result (Win/Loss)]]="Win",1,0)</f>
        <v>0</v>
      </c>
      <c r="M38" s="5">
        <f>DailyTable[[#This Row],[Total Profit]]/DailyTable[[#This Row],[Investment]]</f>
        <v>0.83879056047197609</v>
      </c>
    </row>
    <row r="39" spans="1:13" x14ac:dyDescent="0.35">
      <c r="A39" s="3">
        <v>45696</v>
      </c>
      <c r="B39" t="s">
        <v>12</v>
      </c>
      <c r="C39" s="5">
        <v>0.46400000000000002</v>
      </c>
      <c r="D39">
        <v>317</v>
      </c>
      <c r="E39" s="7">
        <v>25</v>
      </c>
      <c r="F39" t="s">
        <v>22</v>
      </c>
      <c r="G39" t="s">
        <v>29</v>
      </c>
      <c r="H39" s="7">
        <f t="shared" si="5"/>
        <v>-25</v>
      </c>
      <c r="I39" s="7">
        <f t="shared" si="6"/>
        <v>2077.833333333333</v>
      </c>
      <c r="J39" s="7">
        <f t="shared" si="7"/>
        <v>1155</v>
      </c>
      <c r="K39" s="7">
        <f t="shared" si="8"/>
        <v>922.83333333333303</v>
      </c>
      <c r="L39" s="4">
        <f>IF(DailyTable[[#This Row],[Result (Win/Loss)]]="Win",1,0)</f>
        <v>0</v>
      </c>
      <c r="M39" s="5">
        <f>DailyTable[[#This Row],[Total Profit]]/DailyTable[[#This Row],[Investment]]</f>
        <v>0.79898989898989869</v>
      </c>
    </row>
    <row r="40" spans="1:13" x14ac:dyDescent="0.35">
      <c r="A40" s="3">
        <v>45696</v>
      </c>
      <c r="B40" t="s">
        <v>13</v>
      </c>
      <c r="C40" s="5">
        <v>0.29499999999999998</v>
      </c>
      <c r="D40">
        <v>486</v>
      </c>
      <c r="E40" s="7">
        <v>25</v>
      </c>
      <c r="F40" t="s">
        <v>22</v>
      </c>
      <c r="G40" t="s">
        <v>29</v>
      </c>
      <c r="H40" s="7">
        <f t="shared" ref="H40:H54" si="9">IF(G40="Win", IF(D40&gt;0, E40*D40/100, E40*100/ABS(D40)), -E40)</f>
        <v>-25</v>
      </c>
      <c r="I40" s="7">
        <f t="shared" si="6"/>
        <v>2077.833333333333</v>
      </c>
      <c r="J40" s="7">
        <f t="shared" si="7"/>
        <v>1180</v>
      </c>
      <c r="K40" s="7">
        <f t="shared" ref="K40:K50" si="10">I40-J40</f>
        <v>897.83333333333303</v>
      </c>
      <c r="L40" s="4">
        <f>IF(DailyTable[[#This Row],[Result (Win/Loss)]]="Win",1,0)</f>
        <v>0</v>
      </c>
      <c r="M40" s="5">
        <f>DailyTable[[#This Row],[Total Profit]]/DailyTable[[#This Row],[Investment]]</f>
        <v>0.76087570621468903</v>
      </c>
    </row>
    <row r="41" spans="1:13" x14ac:dyDescent="0.35">
      <c r="A41" s="3">
        <v>45696</v>
      </c>
      <c r="B41" t="s">
        <v>31</v>
      </c>
      <c r="C41" s="5">
        <v>0.45300000000000001</v>
      </c>
      <c r="D41">
        <v>221</v>
      </c>
      <c r="E41" s="7">
        <v>25</v>
      </c>
      <c r="F41" t="s">
        <v>22</v>
      </c>
      <c r="G41" t="s">
        <v>29</v>
      </c>
      <c r="H41" s="7">
        <f t="shared" si="9"/>
        <v>-25</v>
      </c>
      <c r="I41" s="7">
        <f t="shared" si="6"/>
        <v>2077.833333333333</v>
      </c>
      <c r="J41" s="7">
        <f t="shared" si="7"/>
        <v>1205</v>
      </c>
      <c r="K41" s="7">
        <f t="shared" si="10"/>
        <v>872.83333333333303</v>
      </c>
      <c r="L41" s="4">
        <f>IF(DailyTable[[#This Row],[Result (Win/Loss)]]="Win",1,0)</f>
        <v>0</v>
      </c>
      <c r="M41" s="5">
        <f>DailyTable[[#This Row],[Total Profit]]/DailyTable[[#This Row],[Investment]]</f>
        <v>0.72434301521438427</v>
      </c>
    </row>
    <row r="42" spans="1:13" x14ac:dyDescent="0.35">
      <c r="A42" s="3">
        <v>45696</v>
      </c>
      <c r="B42" t="s">
        <v>33</v>
      </c>
      <c r="C42" s="5">
        <v>0.21099999999999999</v>
      </c>
      <c r="D42">
        <v>2004</v>
      </c>
      <c r="E42" s="7">
        <v>10</v>
      </c>
      <c r="F42" t="s">
        <v>30</v>
      </c>
      <c r="G42" t="s">
        <v>29</v>
      </c>
      <c r="H42" s="7">
        <f t="shared" si="9"/>
        <v>-10</v>
      </c>
      <c r="I42" s="7">
        <f t="shared" si="6"/>
        <v>2077.833333333333</v>
      </c>
      <c r="J42" s="7">
        <f t="shared" si="7"/>
        <v>1215</v>
      </c>
      <c r="K42" s="7">
        <f t="shared" si="10"/>
        <v>862.83333333333303</v>
      </c>
      <c r="L42" s="4">
        <f>IF(DailyTable[[#This Row],[Result (Win/Loss)]]="Win",1,0)</f>
        <v>0</v>
      </c>
      <c r="M42" s="5">
        <f>DailyTable[[#This Row],[Total Profit]]/DailyTable[[#This Row],[Investment]]</f>
        <v>0.71015089163237288</v>
      </c>
    </row>
    <row r="43" spans="1:13" x14ac:dyDescent="0.35">
      <c r="A43" s="3">
        <v>45696</v>
      </c>
      <c r="B43" t="s">
        <v>34</v>
      </c>
      <c r="C43" s="5">
        <v>0.247</v>
      </c>
      <c r="D43">
        <v>950</v>
      </c>
      <c r="E43" s="7">
        <v>10</v>
      </c>
      <c r="F43" t="s">
        <v>30</v>
      </c>
      <c r="G43" t="s">
        <v>29</v>
      </c>
      <c r="H43" s="7">
        <f t="shared" si="9"/>
        <v>-10</v>
      </c>
      <c r="I43" s="7">
        <f t="shared" si="6"/>
        <v>2077.833333333333</v>
      </c>
      <c r="J43" s="7">
        <f t="shared" si="7"/>
        <v>1225</v>
      </c>
      <c r="K43" s="7">
        <f t="shared" si="10"/>
        <v>852.83333333333303</v>
      </c>
      <c r="L43" s="4">
        <f>IF(DailyTable[[#This Row],[Result (Win/Loss)]]="Win",1,0)</f>
        <v>0</v>
      </c>
      <c r="M43" s="5">
        <f>DailyTable[[#This Row],[Total Profit]]/DailyTable[[#This Row],[Investment]]</f>
        <v>0.69619047619047592</v>
      </c>
    </row>
    <row r="44" spans="1:13" x14ac:dyDescent="0.35">
      <c r="A44" s="3">
        <v>45698</v>
      </c>
      <c r="B44" t="s">
        <v>10</v>
      </c>
      <c r="C44" s="5">
        <v>0.38</v>
      </c>
      <c r="D44">
        <v>435</v>
      </c>
      <c r="E44" s="7">
        <v>25</v>
      </c>
      <c r="F44" t="s">
        <v>22</v>
      </c>
      <c r="G44" t="s">
        <v>11</v>
      </c>
      <c r="H44" s="7">
        <f t="shared" si="9"/>
        <v>108.75</v>
      </c>
      <c r="I44" s="7">
        <f t="shared" si="6"/>
        <v>2211.583333333333</v>
      </c>
      <c r="J44" s="7">
        <f t="shared" si="7"/>
        <v>1250</v>
      </c>
      <c r="K44" s="7">
        <f t="shared" si="10"/>
        <v>961.58333333333303</v>
      </c>
      <c r="L44" s="4">
        <f>IF(DailyTable[[#This Row],[Result (Win/Loss)]]="Win",1,0)</f>
        <v>1</v>
      </c>
      <c r="M44" s="5">
        <f>DailyTable[[#This Row],[Total Profit]]/DailyTable[[#This Row],[Investment]]</f>
        <v>0.76926666666666643</v>
      </c>
    </row>
    <row r="45" spans="1:13" x14ac:dyDescent="0.35">
      <c r="A45" s="3">
        <v>45698</v>
      </c>
      <c r="B45" t="s">
        <v>12</v>
      </c>
      <c r="C45" s="5">
        <v>0.57199999999999995</v>
      </c>
      <c r="D45">
        <v>477</v>
      </c>
      <c r="E45" s="7">
        <v>25</v>
      </c>
      <c r="F45" t="s">
        <v>22</v>
      </c>
      <c r="G45" t="s">
        <v>11</v>
      </c>
      <c r="H45" s="7">
        <f t="shared" si="9"/>
        <v>119.25</v>
      </c>
      <c r="I45" s="7">
        <f t="shared" si="6"/>
        <v>2355.833333333333</v>
      </c>
      <c r="J45" s="7">
        <f t="shared" si="7"/>
        <v>1275</v>
      </c>
      <c r="K45" s="7">
        <f t="shared" si="10"/>
        <v>1080.833333333333</v>
      </c>
      <c r="L45" s="4">
        <f>IF(DailyTable[[#This Row],[Result (Win/Loss)]]="Win",1,0)</f>
        <v>1</v>
      </c>
      <c r="M45" s="5">
        <f>DailyTable[[#This Row],[Total Profit]]/DailyTable[[#This Row],[Investment]]</f>
        <v>0.84771241830065336</v>
      </c>
    </row>
    <row r="46" spans="1:13" x14ac:dyDescent="0.35">
      <c r="A46" s="3">
        <v>45698</v>
      </c>
      <c r="B46" t="s">
        <v>13</v>
      </c>
      <c r="C46" s="5">
        <v>0.46400000000000002</v>
      </c>
      <c r="D46">
        <v>615</v>
      </c>
      <c r="E46" s="7">
        <v>25</v>
      </c>
      <c r="F46" t="s">
        <v>22</v>
      </c>
      <c r="G46" t="s">
        <v>29</v>
      </c>
      <c r="H46" s="7">
        <f t="shared" si="9"/>
        <v>-25</v>
      </c>
      <c r="I46" s="7">
        <f t="shared" si="6"/>
        <v>2355.833333333333</v>
      </c>
      <c r="J46" s="7">
        <f t="shared" si="7"/>
        <v>1300</v>
      </c>
      <c r="K46" s="7">
        <f t="shared" si="10"/>
        <v>1055.833333333333</v>
      </c>
      <c r="L46" s="4">
        <f>IF(DailyTable[[#This Row],[Result (Win/Loss)]]="Win",1,0)</f>
        <v>0</v>
      </c>
      <c r="M46" s="5">
        <f>DailyTable[[#This Row],[Total Profit]]/DailyTable[[#This Row],[Investment]]</f>
        <v>0.81217948717948696</v>
      </c>
    </row>
    <row r="47" spans="1:13" x14ac:dyDescent="0.35">
      <c r="A47" s="3">
        <v>45698</v>
      </c>
      <c r="B47" t="s">
        <v>31</v>
      </c>
      <c r="C47" s="5">
        <v>0.51</v>
      </c>
      <c r="D47">
        <v>461</v>
      </c>
      <c r="E47" s="7">
        <v>25</v>
      </c>
      <c r="F47" t="s">
        <v>22</v>
      </c>
      <c r="G47" t="s">
        <v>11</v>
      </c>
      <c r="H47" s="7">
        <f t="shared" si="9"/>
        <v>115.25</v>
      </c>
      <c r="I47" s="7">
        <f t="shared" si="6"/>
        <v>2496.083333333333</v>
      </c>
      <c r="J47" s="7">
        <f t="shared" si="7"/>
        <v>1325</v>
      </c>
      <c r="K47" s="7">
        <f t="shared" si="10"/>
        <v>1171.083333333333</v>
      </c>
      <c r="L47" s="4">
        <f>IF(DailyTable[[#This Row],[Result (Win/Loss)]]="Win",1,0)</f>
        <v>1</v>
      </c>
      <c r="M47" s="5">
        <f>DailyTable[[#This Row],[Total Profit]]/DailyTable[[#This Row],[Investment]]</f>
        <v>0.88383647798742115</v>
      </c>
    </row>
    <row r="48" spans="1:13" x14ac:dyDescent="0.35">
      <c r="A48" s="3">
        <v>45698</v>
      </c>
      <c r="B48" t="s">
        <v>33</v>
      </c>
      <c r="C48" s="5">
        <v>0.44700000000000001</v>
      </c>
      <c r="D48">
        <v>206</v>
      </c>
      <c r="E48" s="7">
        <v>25</v>
      </c>
      <c r="F48" t="s">
        <v>22</v>
      </c>
      <c r="G48" t="s">
        <v>11</v>
      </c>
      <c r="H48" s="7">
        <f t="shared" si="9"/>
        <v>51.5</v>
      </c>
      <c r="I48" s="7">
        <f t="shared" si="6"/>
        <v>2572.583333333333</v>
      </c>
      <c r="J48" s="7">
        <f t="shared" si="7"/>
        <v>1350</v>
      </c>
      <c r="K48" s="7">
        <f t="shared" si="10"/>
        <v>1222.583333333333</v>
      </c>
      <c r="L48" s="4">
        <f>IF(DailyTable[[#This Row],[Result (Win/Loss)]]="Win",1,0)</f>
        <v>1</v>
      </c>
      <c r="M48" s="5">
        <f>DailyTable[[#This Row],[Total Profit]]/DailyTable[[#This Row],[Investment]]</f>
        <v>0.90561728395061702</v>
      </c>
    </row>
    <row r="49" spans="1:13" x14ac:dyDescent="0.35">
      <c r="A49" s="3">
        <v>45698</v>
      </c>
      <c r="B49" t="s">
        <v>34</v>
      </c>
      <c r="C49" s="5">
        <v>0.36199999999999999</v>
      </c>
      <c r="D49">
        <v>266</v>
      </c>
      <c r="E49" s="7">
        <v>25</v>
      </c>
      <c r="F49" t="s">
        <v>22</v>
      </c>
      <c r="G49" t="s">
        <v>29</v>
      </c>
      <c r="H49" s="7">
        <f t="shared" si="9"/>
        <v>-25</v>
      </c>
      <c r="I49" s="7">
        <f t="shared" si="6"/>
        <v>2572.583333333333</v>
      </c>
      <c r="J49" s="7">
        <f t="shared" si="7"/>
        <v>1375</v>
      </c>
      <c r="K49" s="7">
        <f t="shared" si="10"/>
        <v>1197.583333333333</v>
      </c>
      <c r="L49" s="4">
        <f>IF(DailyTable[[#This Row],[Result (Win/Loss)]]="Win",1,0)</f>
        <v>0</v>
      </c>
      <c r="M49" s="5">
        <f>DailyTable[[#This Row],[Total Profit]]/DailyTable[[#This Row],[Investment]]</f>
        <v>0.87096969696969673</v>
      </c>
    </row>
    <row r="50" spans="1:13" x14ac:dyDescent="0.35">
      <c r="A50" s="3">
        <v>45698</v>
      </c>
      <c r="B50" t="s">
        <v>35</v>
      </c>
      <c r="C50" s="5">
        <v>0.39800000000000002</v>
      </c>
      <c r="D50">
        <v>165</v>
      </c>
      <c r="E50" s="7">
        <v>25</v>
      </c>
      <c r="F50" t="s">
        <v>22</v>
      </c>
      <c r="G50" t="s">
        <v>11</v>
      </c>
      <c r="H50" s="7">
        <f t="shared" si="9"/>
        <v>41.25</v>
      </c>
      <c r="I50" s="7">
        <f t="shared" si="6"/>
        <v>2638.833333333333</v>
      </c>
      <c r="J50" s="7">
        <f t="shared" si="7"/>
        <v>1400</v>
      </c>
      <c r="K50" s="7">
        <f t="shared" si="10"/>
        <v>1238.833333333333</v>
      </c>
      <c r="L50" s="4">
        <f>IF(DailyTable[[#This Row],[Result (Win/Loss)]]="Win",1,0)</f>
        <v>1</v>
      </c>
      <c r="M50" s="5">
        <f>DailyTable[[#This Row],[Total Profit]]/DailyTable[[#This Row],[Investment]]</f>
        <v>0.88488095238095221</v>
      </c>
    </row>
    <row r="51" spans="1:13" x14ac:dyDescent="0.35">
      <c r="A51" s="3">
        <v>45698</v>
      </c>
      <c r="B51" t="s">
        <v>36</v>
      </c>
      <c r="C51" s="5">
        <v>0.54500000000000004</v>
      </c>
      <c r="D51">
        <v>336</v>
      </c>
      <c r="E51" s="7">
        <v>25</v>
      </c>
      <c r="F51" t="s">
        <v>22</v>
      </c>
      <c r="G51" t="s">
        <v>29</v>
      </c>
      <c r="H51" s="7">
        <f t="shared" si="9"/>
        <v>-25</v>
      </c>
      <c r="I51" s="7">
        <f t="shared" ref="I51:I54" si="11">H51+E51+I50</f>
        <v>2638.833333333333</v>
      </c>
      <c r="J51" s="7">
        <f t="shared" ref="J51:J54" si="12">J50+E51</f>
        <v>1425</v>
      </c>
      <c r="K51" s="7">
        <f t="shared" ref="K51:K54" si="13">I51-J51</f>
        <v>1213.833333333333</v>
      </c>
      <c r="L51" s="4">
        <f>IF(DailyTable[[#This Row],[Result (Win/Loss)]]="Win",1,0)</f>
        <v>0</v>
      </c>
      <c r="M51" s="5">
        <f>DailyTable[[#This Row],[Total Profit]]/DailyTable[[#This Row],[Investment]]</f>
        <v>0.8518128654970758</v>
      </c>
    </row>
    <row r="52" spans="1:13" x14ac:dyDescent="0.35">
      <c r="A52" s="3">
        <v>45698</v>
      </c>
      <c r="B52" t="s">
        <v>37</v>
      </c>
      <c r="C52" s="5">
        <v>0.59899999999999998</v>
      </c>
      <c r="D52">
        <v>272</v>
      </c>
      <c r="E52" s="7">
        <v>25</v>
      </c>
      <c r="F52" t="s">
        <v>22</v>
      </c>
      <c r="G52" t="s">
        <v>11</v>
      </c>
      <c r="H52" s="7">
        <f t="shared" si="9"/>
        <v>68</v>
      </c>
      <c r="I52" s="7">
        <f t="shared" si="11"/>
        <v>2731.833333333333</v>
      </c>
      <c r="J52" s="7">
        <f t="shared" si="12"/>
        <v>1450</v>
      </c>
      <c r="K52" s="7">
        <f t="shared" si="13"/>
        <v>1281.833333333333</v>
      </c>
      <c r="L52" s="4">
        <f>IF(DailyTable[[#This Row],[Result (Win/Loss)]]="Win",1,0)</f>
        <v>1</v>
      </c>
      <c r="M52" s="5">
        <f>DailyTable[[#This Row],[Total Profit]]/DailyTable[[#This Row],[Investment]]</f>
        <v>0.8840229885057469</v>
      </c>
    </row>
    <row r="53" spans="1:13" x14ac:dyDescent="0.35">
      <c r="A53" s="3">
        <v>45698</v>
      </c>
      <c r="B53" t="s">
        <v>38</v>
      </c>
      <c r="C53" s="5">
        <v>0.48499999999999999</v>
      </c>
      <c r="D53">
        <v>266</v>
      </c>
      <c r="E53" s="7">
        <v>25</v>
      </c>
      <c r="F53" t="s">
        <v>22</v>
      </c>
      <c r="G53" t="s">
        <v>29</v>
      </c>
      <c r="H53" s="7">
        <f t="shared" si="9"/>
        <v>-25</v>
      </c>
      <c r="I53" s="7">
        <f t="shared" si="11"/>
        <v>2731.833333333333</v>
      </c>
      <c r="J53" s="7">
        <f t="shared" si="12"/>
        <v>1475</v>
      </c>
      <c r="K53" s="7">
        <f t="shared" si="13"/>
        <v>1256.833333333333</v>
      </c>
      <c r="L53" s="4">
        <f>IF(DailyTable[[#This Row],[Result (Win/Loss)]]="Win",1,0)</f>
        <v>0</v>
      </c>
      <c r="M53" s="5">
        <f>DailyTable[[#This Row],[Total Profit]]/DailyTable[[#This Row],[Investment]]</f>
        <v>0.8520903954802258</v>
      </c>
    </row>
    <row r="54" spans="1:13" x14ac:dyDescent="0.35">
      <c r="A54" s="3">
        <v>45699</v>
      </c>
      <c r="B54" t="s">
        <v>10</v>
      </c>
      <c r="C54" s="5">
        <v>0.377</v>
      </c>
      <c r="D54">
        <v>494</v>
      </c>
      <c r="E54" s="7">
        <v>50</v>
      </c>
      <c r="F54" t="s">
        <v>30</v>
      </c>
      <c r="G54" t="s">
        <v>29</v>
      </c>
      <c r="H54" s="7">
        <f t="shared" si="9"/>
        <v>-50</v>
      </c>
      <c r="I54" s="7">
        <f t="shared" si="11"/>
        <v>2731.833333333333</v>
      </c>
      <c r="J54" s="7">
        <f t="shared" si="12"/>
        <v>1525</v>
      </c>
      <c r="K54" s="7">
        <f t="shared" si="13"/>
        <v>1206.833333333333</v>
      </c>
      <c r="L54" s="4">
        <f>IF(DailyTable[[#This Row],[Result (Win/Loss)]]="Win",1,0)</f>
        <v>0</v>
      </c>
      <c r="M54" s="5">
        <f>DailyTable[[#This Row],[Total Profit]]/DailyTable[[#This Row],[Investment]]</f>
        <v>0.79136612021857899</v>
      </c>
    </row>
    <row r="55" spans="1:13" x14ac:dyDescent="0.35">
      <c r="A55" s="3">
        <v>45700</v>
      </c>
      <c r="B55" t="s">
        <v>10</v>
      </c>
      <c r="C55" s="5">
        <v>0.432</v>
      </c>
      <c r="D55">
        <v>356</v>
      </c>
      <c r="E55" s="7">
        <v>25</v>
      </c>
      <c r="F55" t="s">
        <v>22</v>
      </c>
      <c r="G55" t="s">
        <v>29</v>
      </c>
      <c r="H55" s="7">
        <f t="shared" ref="H55:H62" si="14">IF(G55="Win", IF(D55&gt;0, E55*D55/100, E55*100/ABS(D55)), -E55)</f>
        <v>-25</v>
      </c>
      <c r="I55" s="7">
        <f t="shared" ref="I55:I62" si="15">H55+E55+I54</f>
        <v>2731.833333333333</v>
      </c>
      <c r="J55" s="7">
        <f t="shared" ref="J55:J62" si="16">J54+E55</f>
        <v>1550</v>
      </c>
      <c r="K55" s="7">
        <f t="shared" ref="K55:K62" si="17">I55-J55</f>
        <v>1181.833333333333</v>
      </c>
      <c r="L55" s="4">
        <f>IF(DailyTable[[#This Row],[Result (Win/Loss)]]="Win",1,0)</f>
        <v>0</v>
      </c>
      <c r="M55" s="5">
        <f>DailyTable[[#This Row],[Total Profit]]/DailyTable[[#This Row],[Investment]]</f>
        <v>0.76247311827956965</v>
      </c>
    </row>
    <row r="56" spans="1:13" x14ac:dyDescent="0.35">
      <c r="A56" s="3">
        <v>45700</v>
      </c>
      <c r="B56" t="s">
        <v>12</v>
      </c>
      <c r="C56" s="5">
        <v>0.34300000000000003</v>
      </c>
      <c r="D56">
        <v>572</v>
      </c>
      <c r="E56" s="7">
        <v>25</v>
      </c>
      <c r="F56" t="s">
        <v>22</v>
      </c>
      <c r="G56" t="s">
        <v>29</v>
      </c>
      <c r="H56" s="7">
        <f t="shared" si="14"/>
        <v>-25</v>
      </c>
      <c r="I56" s="7">
        <f t="shared" si="15"/>
        <v>2731.833333333333</v>
      </c>
      <c r="J56" s="7">
        <f t="shared" si="16"/>
        <v>1575</v>
      </c>
      <c r="K56" s="7">
        <f t="shared" si="17"/>
        <v>1156.833333333333</v>
      </c>
      <c r="L56" s="4">
        <f>IF(DailyTable[[#This Row],[Result (Win/Loss)]]="Win",1,0)</f>
        <v>0</v>
      </c>
      <c r="M56" s="5">
        <f>DailyTable[[#This Row],[Total Profit]]/DailyTable[[#This Row],[Investment]]</f>
        <v>0.73449735449735432</v>
      </c>
    </row>
    <row r="57" spans="1:13" x14ac:dyDescent="0.35">
      <c r="A57" s="3">
        <v>45700</v>
      </c>
      <c r="B57" t="s">
        <v>13</v>
      </c>
      <c r="C57" s="5">
        <v>0.35799999999999998</v>
      </c>
      <c r="D57">
        <v>450</v>
      </c>
      <c r="E57" s="7">
        <v>25</v>
      </c>
      <c r="F57" t="s">
        <v>22</v>
      </c>
      <c r="G57" t="s">
        <v>29</v>
      </c>
      <c r="H57" s="7">
        <f t="shared" si="14"/>
        <v>-25</v>
      </c>
      <c r="I57" s="7">
        <f t="shared" si="15"/>
        <v>2731.833333333333</v>
      </c>
      <c r="J57" s="7">
        <f t="shared" si="16"/>
        <v>1600</v>
      </c>
      <c r="K57" s="7">
        <f t="shared" si="17"/>
        <v>1131.833333333333</v>
      </c>
      <c r="L57" s="4">
        <f>IF(DailyTable[[#This Row],[Result (Win/Loss)]]="Win",1,0)</f>
        <v>0</v>
      </c>
      <c r="M57" s="5">
        <f>DailyTable[[#This Row],[Total Profit]]/DailyTable[[#This Row],[Investment]]</f>
        <v>0.70739583333333311</v>
      </c>
    </row>
    <row r="58" spans="1:13" x14ac:dyDescent="0.35">
      <c r="A58" s="3">
        <v>45700</v>
      </c>
      <c r="B58" t="s">
        <v>31</v>
      </c>
      <c r="C58" s="5">
        <v>0.41199999999999998</v>
      </c>
      <c r="D58">
        <v>375</v>
      </c>
      <c r="E58" s="7">
        <v>25</v>
      </c>
      <c r="F58" t="s">
        <v>22</v>
      </c>
      <c r="G58" t="s">
        <v>11</v>
      </c>
      <c r="H58" s="7">
        <f t="shared" si="14"/>
        <v>93.75</v>
      </c>
      <c r="I58" s="7">
        <f t="shared" si="15"/>
        <v>2850.583333333333</v>
      </c>
      <c r="J58" s="7">
        <f t="shared" si="16"/>
        <v>1625</v>
      </c>
      <c r="K58" s="7">
        <f t="shared" si="17"/>
        <v>1225.583333333333</v>
      </c>
      <c r="L58" s="4">
        <f>IF(DailyTable[[#This Row],[Result (Win/Loss)]]="Win",1,0)</f>
        <v>1</v>
      </c>
      <c r="M58" s="5">
        <f>DailyTable[[#This Row],[Total Profit]]/DailyTable[[#This Row],[Investment]]</f>
        <v>0.75420512820512797</v>
      </c>
    </row>
    <row r="59" spans="1:13" x14ac:dyDescent="0.35">
      <c r="A59" s="3">
        <v>45700</v>
      </c>
      <c r="B59" t="s">
        <v>33</v>
      </c>
      <c r="C59" s="5">
        <v>0.249</v>
      </c>
      <c r="D59">
        <v>-135</v>
      </c>
      <c r="E59" s="7">
        <v>25</v>
      </c>
      <c r="F59" t="s">
        <v>22</v>
      </c>
      <c r="G59" t="s">
        <v>29</v>
      </c>
      <c r="H59" s="7">
        <f t="shared" si="14"/>
        <v>-25</v>
      </c>
      <c r="I59" s="7">
        <f t="shared" si="15"/>
        <v>2850.583333333333</v>
      </c>
      <c r="J59" s="7">
        <f t="shared" si="16"/>
        <v>1650</v>
      </c>
      <c r="K59" s="7">
        <f t="shared" si="17"/>
        <v>1200.583333333333</v>
      </c>
      <c r="L59" s="4">
        <f>IF(DailyTable[[#This Row],[Result (Win/Loss)]]="Win",1,0)</f>
        <v>0</v>
      </c>
      <c r="M59" s="5">
        <f>DailyTable[[#This Row],[Total Profit]]/DailyTable[[#This Row],[Investment]]</f>
        <v>0.7276262626262624</v>
      </c>
    </row>
    <row r="60" spans="1:13" x14ac:dyDescent="0.35">
      <c r="A60" s="3">
        <v>45700</v>
      </c>
      <c r="B60" t="s">
        <v>34</v>
      </c>
      <c r="C60" s="5">
        <v>0.27800000000000002</v>
      </c>
      <c r="D60">
        <v>-112</v>
      </c>
      <c r="E60" s="7">
        <v>25</v>
      </c>
      <c r="F60" t="s">
        <v>22</v>
      </c>
      <c r="G60" t="s">
        <v>29</v>
      </c>
      <c r="H60" s="7">
        <f t="shared" si="14"/>
        <v>-25</v>
      </c>
      <c r="I60" s="7">
        <f t="shared" si="15"/>
        <v>2850.583333333333</v>
      </c>
      <c r="J60" s="7">
        <f t="shared" si="16"/>
        <v>1675</v>
      </c>
      <c r="K60" s="7">
        <f t="shared" si="17"/>
        <v>1175.583333333333</v>
      </c>
      <c r="L60" s="4">
        <f>IF(DailyTable[[#This Row],[Result (Win/Loss)]]="Win",1,0)</f>
        <v>0</v>
      </c>
      <c r="M60" s="5">
        <f>DailyTable[[#This Row],[Total Profit]]/DailyTable[[#This Row],[Investment]]</f>
        <v>0.70184079601990035</v>
      </c>
    </row>
    <row r="61" spans="1:13" x14ac:dyDescent="0.35">
      <c r="A61" s="3">
        <v>45700</v>
      </c>
      <c r="B61" t="s">
        <v>35</v>
      </c>
      <c r="C61" s="5">
        <v>0.29199999999999998</v>
      </c>
      <c r="D61">
        <v>402</v>
      </c>
      <c r="E61" s="7">
        <v>25</v>
      </c>
      <c r="F61" t="s">
        <v>30</v>
      </c>
      <c r="G61" t="s">
        <v>29</v>
      </c>
      <c r="H61" s="7">
        <f t="shared" si="14"/>
        <v>-25</v>
      </c>
      <c r="I61" s="7">
        <f t="shared" si="15"/>
        <v>2850.583333333333</v>
      </c>
      <c r="J61" s="7">
        <f t="shared" si="16"/>
        <v>1700</v>
      </c>
      <c r="K61" s="7">
        <f t="shared" si="17"/>
        <v>1150.583333333333</v>
      </c>
      <c r="L61" s="4">
        <f>IF(DailyTable[[#This Row],[Result (Win/Loss)]]="Win",1,0)</f>
        <v>0</v>
      </c>
      <c r="M61" s="5">
        <f>DailyTable[[#This Row],[Total Profit]]/DailyTable[[#This Row],[Investment]]</f>
        <v>0.67681372549019592</v>
      </c>
    </row>
    <row r="62" spans="1:13" x14ac:dyDescent="0.35">
      <c r="A62" s="3">
        <v>45700</v>
      </c>
      <c r="B62" t="s">
        <v>36</v>
      </c>
      <c r="C62" s="5">
        <v>0.22500000000000001</v>
      </c>
      <c r="D62">
        <v>468</v>
      </c>
      <c r="E62" s="7">
        <v>25</v>
      </c>
      <c r="F62" t="s">
        <v>30</v>
      </c>
      <c r="G62" t="s">
        <v>29</v>
      </c>
      <c r="H62" s="7">
        <f t="shared" si="14"/>
        <v>-25</v>
      </c>
      <c r="I62" s="7">
        <f t="shared" si="15"/>
        <v>2850.583333333333</v>
      </c>
      <c r="J62" s="7">
        <f t="shared" si="16"/>
        <v>1725</v>
      </c>
      <c r="K62" s="7">
        <f t="shared" si="17"/>
        <v>1125.583333333333</v>
      </c>
      <c r="L62" s="4">
        <f>IF(DailyTable[[#This Row],[Result (Win/Loss)]]="Win",1,0)</f>
        <v>0</v>
      </c>
      <c r="M62" s="5">
        <f>DailyTable[[#This Row],[Total Profit]]/DailyTable[[#This Row],[Investment]]</f>
        <v>0.65251207729468585</v>
      </c>
    </row>
    <row r="63" spans="1:13" x14ac:dyDescent="0.35">
      <c r="A63" s="3">
        <v>45700</v>
      </c>
      <c r="B63" t="s">
        <v>37</v>
      </c>
      <c r="C63" s="5">
        <v>0.34300000000000003</v>
      </c>
      <c r="D63">
        <v>317</v>
      </c>
      <c r="E63" s="7">
        <v>25</v>
      </c>
      <c r="F63" t="s">
        <v>30</v>
      </c>
      <c r="G63" t="s">
        <v>11</v>
      </c>
      <c r="H63" s="7">
        <f t="shared" ref="H63:H71" si="18">IF(G63="Win", IF(D63&gt;0, E63*D63/100, E63*100/ABS(D63)), -E63)</f>
        <v>79.25</v>
      </c>
      <c r="I63" s="7">
        <f t="shared" ref="I63:I71" si="19">H63+E63+I62</f>
        <v>2954.833333333333</v>
      </c>
      <c r="J63" s="7">
        <f t="shared" ref="J63:J71" si="20">J62+E63</f>
        <v>1750</v>
      </c>
      <c r="K63" s="7">
        <f t="shared" ref="K63:K71" si="21">I63-J63</f>
        <v>1204.833333333333</v>
      </c>
      <c r="L63" s="4">
        <f>IF(DailyTable[[#This Row],[Result (Win/Loss)]]="Win",1,0)</f>
        <v>1</v>
      </c>
      <c r="M63" s="5">
        <f>DailyTable[[#This Row],[Total Profit]]/DailyTable[[#This Row],[Investment]]</f>
        <v>0.68847619047619035</v>
      </c>
    </row>
    <row r="64" spans="1:13" x14ac:dyDescent="0.35">
      <c r="A64" s="3">
        <v>45700</v>
      </c>
      <c r="B64" t="s">
        <v>38</v>
      </c>
      <c r="C64" s="5">
        <v>0.61899999999999999</v>
      </c>
      <c r="D64">
        <v>-147</v>
      </c>
      <c r="E64" s="7">
        <v>25</v>
      </c>
      <c r="F64" t="s">
        <v>30</v>
      </c>
      <c r="G64" t="s">
        <v>11</v>
      </c>
      <c r="H64" s="7">
        <f t="shared" si="18"/>
        <v>17.006802721088434</v>
      </c>
      <c r="I64" s="7">
        <f t="shared" si="19"/>
        <v>2996.8401360544212</v>
      </c>
      <c r="J64" s="7">
        <f t="shared" si="20"/>
        <v>1775</v>
      </c>
      <c r="K64" s="7">
        <f t="shared" si="21"/>
        <v>1221.8401360544212</v>
      </c>
      <c r="L64" s="4">
        <f>IF(DailyTable[[#This Row],[Result (Win/Loss)]]="Win",1,0)</f>
        <v>1</v>
      </c>
      <c r="M64" s="5">
        <f>DailyTable[[#This Row],[Total Profit]]/DailyTable[[#This Row],[Investment]]</f>
        <v>0.68836064003065989</v>
      </c>
    </row>
    <row r="65" spans="1:13" x14ac:dyDescent="0.35">
      <c r="A65" s="3">
        <v>45701</v>
      </c>
      <c r="B65" t="s">
        <v>10</v>
      </c>
      <c r="C65" s="5">
        <v>0.45200000000000001</v>
      </c>
      <c r="D65">
        <v>202</v>
      </c>
      <c r="E65" s="7">
        <v>25</v>
      </c>
      <c r="F65" t="s">
        <v>22</v>
      </c>
      <c r="G65" t="s">
        <v>29</v>
      </c>
      <c r="H65" s="7">
        <f t="shared" si="18"/>
        <v>-25</v>
      </c>
      <c r="I65" s="7">
        <f t="shared" si="19"/>
        <v>2996.8401360544212</v>
      </c>
      <c r="J65" s="7">
        <f t="shared" si="20"/>
        <v>1800</v>
      </c>
      <c r="K65" s="7">
        <f t="shared" si="21"/>
        <v>1196.8401360544212</v>
      </c>
      <c r="L65" s="4">
        <f>IF(DailyTable[[#This Row],[Result (Win/Loss)]]="Win",1,0)</f>
        <v>0</v>
      </c>
      <c r="M65" s="5">
        <f>DailyTable[[#This Row],[Total Profit]]/DailyTable[[#This Row],[Investment]]</f>
        <v>0.66491118669690064</v>
      </c>
    </row>
    <row r="66" spans="1:13" x14ac:dyDescent="0.35">
      <c r="A66" s="3">
        <v>45701</v>
      </c>
      <c r="B66" t="s">
        <v>12</v>
      </c>
      <c r="C66" s="5">
        <v>0.48</v>
      </c>
      <c r="D66">
        <v>-115</v>
      </c>
      <c r="E66" s="7">
        <v>25</v>
      </c>
      <c r="F66" t="s">
        <v>22</v>
      </c>
      <c r="G66" t="s">
        <v>29</v>
      </c>
      <c r="H66" s="7">
        <f t="shared" si="18"/>
        <v>-25</v>
      </c>
      <c r="I66" s="7">
        <f t="shared" si="19"/>
        <v>2996.8401360544212</v>
      </c>
      <c r="J66" s="7">
        <f t="shared" si="20"/>
        <v>1825</v>
      </c>
      <c r="K66" s="7">
        <f t="shared" si="21"/>
        <v>1171.8401360544212</v>
      </c>
      <c r="L66" s="4">
        <f>IF(DailyTable[[#This Row],[Result (Win/Loss)]]="Win",1,0)</f>
        <v>0</v>
      </c>
      <c r="M66" s="5">
        <f>DailyTable[[#This Row],[Total Profit]]/DailyTable[[#This Row],[Investment]]</f>
        <v>0.64210418413940895</v>
      </c>
    </row>
    <row r="67" spans="1:13" x14ac:dyDescent="0.35">
      <c r="A67" s="3">
        <v>45701</v>
      </c>
      <c r="B67" t="s">
        <v>13</v>
      </c>
      <c r="C67" s="5">
        <v>0.47199999999999998</v>
      </c>
      <c r="D67">
        <v>-115</v>
      </c>
      <c r="E67" s="7">
        <v>25</v>
      </c>
      <c r="F67" t="s">
        <v>22</v>
      </c>
      <c r="G67" t="s">
        <v>29</v>
      </c>
      <c r="H67" s="7">
        <f t="shared" si="18"/>
        <v>-25</v>
      </c>
      <c r="I67" s="7">
        <f t="shared" si="19"/>
        <v>2996.8401360544212</v>
      </c>
      <c r="J67" s="7">
        <f t="shared" si="20"/>
        <v>1850</v>
      </c>
      <c r="K67" s="7">
        <f t="shared" si="21"/>
        <v>1146.8401360544212</v>
      </c>
      <c r="L67" s="4">
        <f>IF(DailyTable[[#This Row],[Result (Win/Loss)]]="Win",1,0)</f>
        <v>0</v>
      </c>
      <c r="M67" s="5">
        <f>DailyTable[[#This Row],[Total Profit]]/DailyTable[[#This Row],[Investment]]</f>
        <v>0.61991358705644395</v>
      </c>
    </row>
    <row r="68" spans="1:13" x14ac:dyDescent="0.35">
      <c r="A68" s="3">
        <v>45701</v>
      </c>
      <c r="B68" t="s">
        <v>31</v>
      </c>
      <c r="C68" s="5">
        <v>0.41299999999999998</v>
      </c>
      <c r="D68">
        <v>197</v>
      </c>
      <c r="E68" s="7">
        <v>25</v>
      </c>
      <c r="F68" t="s">
        <v>22</v>
      </c>
      <c r="G68" t="s">
        <v>11</v>
      </c>
      <c r="H68" s="7">
        <f t="shared" si="18"/>
        <v>49.25</v>
      </c>
      <c r="I68" s="7">
        <f t="shared" si="19"/>
        <v>3071.0901360544212</v>
      </c>
      <c r="J68" s="7">
        <f t="shared" si="20"/>
        <v>1875</v>
      </c>
      <c r="K68" s="7">
        <f t="shared" si="21"/>
        <v>1196.0901360544212</v>
      </c>
      <c r="L68" s="4">
        <f>IF(DailyTable[[#This Row],[Result (Win/Loss)]]="Win",1,0)</f>
        <v>1</v>
      </c>
      <c r="M68" s="5">
        <f>DailyTable[[#This Row],[Total Profit]]/DailyTable[[#This Row],[Investment]]</f>
        <v>0.63791473922902464</v>
      </c>
    </row>
    <row r="69" spans="1:13" x14ac:dyDescent="0.35">
      <c r="A69" s="3">
        <v>45701</v>
      </c>
      <c r="B69" t="s">
        <v>33</v>
      </c>
      <c r="C69" s="5">
        <v>0.39800000000000002</v>
      </c>
      <c r="D69">
        <v>196</v>
      </c>
      <c r="E69" s="7">
        <v>25</v>
      </c>
      <c r="F69" t="s">
        <v>22</v>
      </c>
      <c r="G69" t="s">
        <v>29</v>
      </c>
      <c r="H69" s="7">
        <f t="shared" si="18"/>
        <v>-25</v>
      </c>
      <c r="I69" s="7">
        <f t="shared" si="19"/>
        <v>3071.0901360544212</v>
      </c>
      <c r="J69" s="7">
        <f t="shared" si="20"/>
        <v>1900</v>
      </c>
      <c r="K69" s="7">
        <f t="shared" si="21"/>
        <v>1171.0901360544212</v>
      </c>
      <c r="L69" s="4">
        <f>IF(DailyTable[[#This Row],[Result (Win/Loss)]]="Win",1,0)</f>
        <v>0</v>
      </c>
      <c r="M69" s="5">
        <f>DailyTable[[#This Row],[Total Profit]]/DailyTable[[#This Row],[Investment]]</f>
        <v>0.61636322950232691</v>
      </c>
    </row>
    <row r="70" spans="1:13" x14ac:dyDescent="0.35">
      <c r="A70" s="3">
        <v>45701</v>
      </c>
      <c r="B70" t="s">
        <v>34</v>
      </c>
      <c r="C70" s="5">
        <v>0.42299999999999999</v>
      </c>
      <c r="D70">
        <v>-120</v>
      </c>
      <c r="E70" s="7">
        <v>25</v>
      </c>
      <c r="F70" t="s">
        <v>22</v>
      </c>
      <c r="G70" t="s">
        <v>29</v>
      </c>
      <c r="H70" s="7">
        <f t="shared" si="18"/>
        <v>-25</v>
      </c>
      <c r="I70" s="7">
        <f t="shared" si="19"/>
        <v>3071.0901360544212</v>
      </c>
      <c r="J70" s="7">
        <f t="shared" si="20"/>
        <v>1925</v>
      </c>
      <c r="K70" s="7">
        <f t="shared" si="21"/>
        <v>1146.0901360544212</v>
      </c>
      <c r="L70" s="4">
        <f>IF(DailyTable[[#This Row],[Result (Win/Loss)]]="Win",1,0)</f>
        <v>0</v>
      </c>
      <c r="M70" s="5">
        <f>DailyTable[[#This Row],[Total Profit]]/DailyTable[[#This Row],[Investment]]</f>
        <v>0.59537149924904997</v>
      </c>
    </row>
    <row r="71" spans="1:13" x14ac:dyDescent="0.35">
      <c r="A71" s="3">
        <v>45701</v>
      </c>
      <c r="B71" t="s">
        <v>35</v>
      </c>
      <c r="C71" s="5">
        <v>0.29799999999999999</v>
      </c>
      <c r="D71">
        <v>332</v>
      </c>
      <c r="E71" s="7">
        <v>10</v>
      </c>
      <c r="F71" t="s">
        <v>30</v>
      </c>
      <c r="G71" t="s">
        <v>29</v>
      </c>
      <c r="H71" s="7">
        <f t="shared" si="18"/>
        <v>-10</v>
      </c>
      <c r="I71" s="7">
        <f t="shared" si="19"/>
        <v>3071.0901360544212</v>
      </c>
      <c r="J71" s="7">
        <f t="shared" si="20"/>
        <v>1935</v>
      </c>
      <c r="K71" s="7">
        <f t="shared" si="21"/>
        <v>1136.0901360544212</v>
      </c>
      <c r="L71" s="4">
        <f>IF(DailyTable[[#This Row],[Result (Win/Loss)]]="Win",1,0)</f>
        <v>0</v>
      </c>
      <c r="M71" s="5">
        <f>DailyTable[[#This Row],[Total Profit]]/DailyTable[[#This Row],[Investment]]</f>
        <v>0.58712668529944245</v>
      </c>
    </row>
    <row r="72" spans="1:13" x14ac:dyDescent="0.35">
      <c r="A72" s="3">
        <v>45701</v>
      </c>
      <c r="B72" t="s">
        <v>36</v>
      </c>
      <c r="C72" s="5">
        <v>0.28199999999999997</v>
      </c>
      <c r="D72">
        <v>330</v>
      </c>
      <c r="E72" s="7">
        <v>10</v>
      </c>
      <c r="F72" t="s">
        <v>30</v>
      </c>
      <c r="G72" t="s">
        <v>29</v>
      </c>
      <c r="H72" s="7">
        <f t="shared" ref="H72:H91" si="22">IF(G72="Win", IF(D72&gt;0, E72*D72/100, E72*100/ABS(D72)), -E72)</f>
        <v>-10</v>
      </c>
      <c r="I72" s="7">
        <f t="shared" ref="I72:I91" si="23">H72+E72+I71</f>
        <v>3071.0901360544212</v>
      </c>
      <c r="J72" s="7">
        <f t="shared" ref="J72:J91" si="24">J71+E72</f>
        <v>1945</v>
      </c>
      <c r="K72" s="7">
        <f t="shared" ref="K72:K91" si="25">I72-J72</f>
        <v>1126.0901360544212</v>
      </c>
      <c r="L72" s="4">
        <f>IF(DailyTable[[#This Row],[Result (Win/Loss)]]="Win",1,0)</f>
        <v>0</v>
      </c>
      <c r="M72" s="5">
        <f>DailyTable[[#This Row],[Total Profit]]/DailyTable[[#This Row],[Investment]]</f>
        <v>0.57896665092772304</v>
      </c>
    </row>
    <row r="73" spans="1:13" x14ac:dyDescent="0.35">
      <c r="A73" s="3">
        <v>45701</v>
      </c>
      <c r="B73" t="s">
        <v>37</v>
      </c>
      <c r="C73" s="5">
        <v>0.312</v>
      </c>
      <c r="D73">
        <v>165</v>
      </c>
      <c r="E73" s="7">
        <v>10</v>
      </c>
      <c r="F73" t="s">
        <v>30</v>
      </c>
      <c r="G73" t="s">
        <v>29</v>
      </c>
      <c r="H73" s="7">
        <f t="shared" si="22"/>
        <v>-10</v>
      </c>
      <c r="I73" s="7">
        <f t="shared" si="23"/>
        <v>3071.0901360544212</v>
      </c>
      <c r="J73" s="7">
        <f t="shared" si="24"/>
        <v>1955</v>
      </c>
      <c r="K73" s="7">
        <f t="shared" si="25"/>
        <v>1116.0901360544212</v>
      </c>
      <c r="L73" s="4">
        <f>IF(DailyTable[[#This Row],[Result (Win/Loss)]]="Win",1,0)</f>
        <v>0</v>
      </c>
      <c r="M73" s="5">
        <f>DailyTable[[#This Row],[Total Profit]]/DailyTable[[#This Row],[Investment]]</f>
        <v>0.57089009516850187</v>
      </c>
    </row>
    <row r="74" spans="1:13" x14ac:dyDescent="0.35">
      <c r="A74" s="3">
        <v>45701</v>
      </c>
      <c r="B74" t="s">
        <v>38</v>
      </c>
      <c r="C74" s="5">
        <v>0.3</v>
      </c>
      <c r="D74">
        <v>323</v>
      </c>
      <c r="E74" s="7">
        <v>10</v>
      </c>
      <c r="F74" t="s">
        <v>30</v>
      </c>
      <c r="G74" t="s">
        <v>29</v>
      </c>
      <c r="H74" s="7">
        <f t="shared" si="22"/>
        <v>-10</v>
      </c>
      <c r="I74" s="7">
        <f t="shared" si="23"/>
        <v>3071.0901360544212</v>
      </c>
      <c r="J74" s="7">
        <f t="shared" si="24"/>
        <v>1965</v>
      </c>
      <c r="K74" s="7">
        <f t="shared" si="25"/>
        <v>1106.0901360544212</v>
      </c>
      <c r="L74" s="4">
        <f>IF(DailyTable[[#This Row],[Result (Win/Loss)]]="Win",1,0)</f>
        <v>0</v>
      </c>
      <c r="M74" s="5">
        <f>DailyTable[[#This Row],[Total Profit]]/DailyTable[[#This Row],[Investment]]</f>
        <v>0.56289574353914562</v>
      </c>
    </row>
    <row r="75" spans="1:13" x14ac:dyDescent="0.35">
      <c r="A75" s="3">
        <v>45701</v>
      </c>
      <c r="B75" t="s">
        <v>39</v>
      </c>
      <c r="C75" s="5">
        <v>0.19900000000000001</v>
      </c>
      <c r="D75">
        <v>518</v>
      </c>
      <c r="E75" s="7">
        <v>10</v>
      </c>
      <c r="F75" t="s">
        <v>40</v>
      </c>
      <c r="G75" t="s">
        <v>29</v>
      </c>
      <c r="H75" s="7">
        <f t="shared" si="22"/>
        <v>-10</v>
      </c>
      <c r="I75" s="7">
        <f t="shared" si="23"/>
        <v>3071.0901360544212</v>
      </c>
      <c r="J75" s="7">
        <f t="shared" si="24"/>
        <v>1975</v>
      </c>
      <c r="K75" s="7">
        <f t="shared" si="25"/>
        <v>1096.0901360544212</v>
      </c>
      <c r="L75" s="4">
        <f>IF(DailyTable[[#This Row],[Result (Win/Loss)]]="Win",1,0)</f>
        <v>0</v>
      </c>
      <c r="M75" s="5">
        <f>DailyTable[[#This Row],[Total Profit]]/DailyTable[[#This Row],[Investment]]</f>
        <v>0.55498234736932717</v>
      </c>
    </row>
    <row r="76" spans="1:13" x14ac:dyDescent="0.35">
      <c r="A76" s="3">
        <v>45708</v>
      </c>
      <c r="B76" t="s">
        <v>10</v>
      </c>
      <c r="C76" s="5">
        <v>0.47499999999999998</v>
      </c>
      <c r="D76">
        <v>296</v>
      </c>
      <c r="E76" s="7">
        <v>25</v>
      </c>
      <c r="F76" t="s">
        <v>22</v>
      </c>
      <c r="G76" t="s">
        <v>29</v>
      </c>
      <c r="H76" s="7">
        <f t="shared" si="22"/>
        <v>-25</v>
      </c>
      <c r="I76" s="7">
        <f t="shared" si="23"/>
        <v>3071.0901360544212</v>
      </c>
      <c r="J76" s="7">
        <f t="shared" si="24"/>
        <v>2000</v>
      </c>
      <c r="K76" s="7">
        <f t="shared" si="25"/>
        <v>1071.0901360544212</v>
      </c>
      <c r="L76" s="4">
        <f>IF(DailyTable[[#This Row],[Result (Win/Loss)]]="Win",1,0)</f>
        <v>0</v>
      </c>
      <c r="M76" s="5">
        <f>DailyTable[[#This Row],[Total Profit]]/DailyTable[[#This Row],[Investment]]</f>
        <v>0.53554506802721058</v>
      </c>
    </row>
    <row r="77" spans="1:13" x14ac:dyDescent="0.35">
      <c r="A77" s="3">
        <v>45708</v>
      </c>
      <c r="B77" t="s">
        <v>12</v>
      </c>
      <c r="C77" s="5">
        <v>0.38300000000000001</v>
      </c>
      <c r="D77">
        <v>347</v>
      </c>
      <c r="E77" s="7">
        <v>25</v>
      </c>
      <c r="F77" t="s">
        <v>22</v>
      </c>
      <c r="G77" t="s">
        <v>29</v>
      </c>
      <c r="H77" s="7">
        <f t="shared" si="22"/>
        <v>-25</v>
      </c>
      <c r="I77" s="7">
        <f t="shared" si="23"/>
        <v>3071.0901360544212</v>
      </c>
      <c r="J77" s="7">
        <f t="shared" si="24"/>
        <v>2025</v>
      </c>
      <c r="K77" s="7">
        <f t="shared" si="25"/>
        <v>1046.0901360544212</v>
      </c>
      <c r="L77" s="4">
        <f>IF(DailyTable[[#This Row],[Result (Win/Loss)]]="Win",1,0)</f>
        <v>0</v>
      </c>
      <c r="M77" s="5">
        <f>DailyTable[[#This Row],[Total Profit]]/DailyTable[[#This Row],[Investment]]</f>
        <v>0.51658772150835619</v>
      </c>
    </row>
    <row r="78" spans="1:13" x14ac:dyDescent="0.35">
      <c r="A78" s="3">
        <v>45708</v>
      </c>
      <c r="B78" t="s">
        <v>13</v>
      </c>
      <c r="C78" s="5">
        <v>0.71899999999999997</v>
      </c>
      <c r="D78">
        <v>-200</v>
      </c>
      <c r="E78" s="7">
        <v>25</v>
      </c>
      <c r="F78" t="s">
        <v>22</v>
      </c>
      <c r="G78" t="s">
        <v>11</v>
      </c>
      <c r="H78" s="7">
        <f t="shared" si="22"/>
        <v>12.5</v>
      </c>
      <c r="I78" s="7">
        <f t="shared" si="23"/>
        <v>3108.5901360544212</v>
      </c>
      <c r="J78" s="7">
        <f t="shared" si="24"/>
        <v>2050</v>
      </c>
      <c r="K78" s="7">
        <f t="shared" si="25"/>
        <v>1058.5901360544212</v>
      </c>
      <c r="L78" s="4">
        <f>IF(DailyTable[[#This Row],[Result (Win/Loss)]]="Win",1,0)</f>
        <v>1</v>
      </c>
      <c r="M78" s="5">
        <f>DailyTable[[#This Row],[Total Profit]]/DailyTable[[#This Row],[Investment]]</f>
        <v>0.51638543222166888</v>
      </c>
    </row>
    <row r="79" spans="1:13" x14ac:dyDescent="0.35">
      <c r="A79" s="3">
        <v>45708</v>
      </c>
      <c r="B79" t="s">
        <v>31</v>
      </c>
      <c r="C79" s="5">
        <v>0.28899999999999998</v>
      </c>
      <c r="D79">
        <v>809</v>
      </c>
      <c r="E79" s="7">
        <v>20</v>
      </c>
      <c r="F79" t="s">
        <v>30</v>
      </c>
      <c r="G79" t="s">
        <v>29</v>
      </c>
      <c r="H79" s="7">
        <f t="shared" si="22"/>
        <v>-20</v>
      </c>
      <c r="I79" s="7">
        <f t="shared" si="23"/>
        <v>3108.5901360544212</v>
      </c>
      <c r="J79" s="7">
        <f t="shared" si="24"/>
        <v>2070</v>
      </c>
      <c r="K79" s="7">
        <f t="shared" si="25"/>
        <v>1038.5901360544212</v>
      </c>
      <c r="L79" s="4">
        <f>IF(DailyTable[[#This Row],[Result (Win/Loss)]]="Win",1,0)</f>
        <v>0</v>
      </c>
      <c r="M79" s="5">
        <f>DailyTable[[#This Row],[Total Profit]]/DailyTable[[#This Row],[Investment]]</f>
        <v>0.50173436524368176</v>
      </c>
    </row>
    <row r="80" spans="1:13" x14ac:dyDescent="0.35">
      <c r="A80" s="3">
        <v>45708</v>
      </c>
      <c r="B80" t="s">
        <v>33</v>
      </c>
      <c r="C80" s="5">
        <v>0.315</v>
      </c>
      <c r="D80">
        <v>574</v>
      </c>
      <c r="E80" s="7">
        <v>20</v>
      </c>
      <c r="F80" t="s">
        <v>30</v>
      </c>
      <c r="G80" t="s">
        <v>29</v>
      </c>
      <c r="H80" s="7">
        <f t="shared" si="22"/>
        <v>-20</v>
      </c>
      <c r="I80" s="7">
        <f t="shared" si="23"/>
        <v>3108.5901360544212</v>
      </c>
      <c r="J80" s="7">
        <f t="shared" si="24"/>
        <v>2090</v>
      </c>
      <c r="K80" s="7">
        <f t="shared" si="25"/>
        <v>1018.5901360544212</v>
      </c>
      <c r="L80" s="4">
        <f>IF(DailyTable[[#This Row],[Result (Win/Loss)]]="Win",1,0)</f>
        <v>0</v>
      </c>
      <c r="M80" s="5">
        <f>DailyTable[[#This Row],[Total Profit]]/DailyTable[[#This Row],[Investment]]</f>
        <v>0.48736370146144559</v>
      </c>
    </row>
    <row r="81" spans="1:13" x14ac:dyDescent="0.35">
      <c r="A81" s="3">
        <v>45708</v>
      </c>
      <c r="B81" t="s">
        <v>34</v>
      </c>
      <c r="C81" s="5">
        <v>0.43099999999999999</v>
      </c>
      <c r="D81">
        <v>276</v>
      </c>
      <c r="E81" s="7">
        <v>20</v>
      </c>
      <c r="F81" t="s">
        <v>30</v>
      </c>
      <c r="G81" t="s">
        <v>29</v>
      </c>
      <c r="H81" s="7">
        <f t="shared" si="22"/>
        <v>-20</v>
      </c>
      <c r="I81" s="7">
        <f t="shared" si="23"/>
        <v>3108.5901360544212</v>
      </c>
      <c r="J81" s="7">
        <f t="shared" si="24"/>
        <v>2110</v>
      </c>
      <c r="K81" s="7">
        <f t="shared" si="25"/>
        <v>998.59013605442124</v>
      </c>
      <c r="L81" s="4">
        <f>IF(DailyTable[[#This Row],[Result (Win/Loss)]]="Win",1,0)</f>
        <v>0</v>
      </c>
      <c r="M81" s="5">
        <f>DailyTable[[#This Row],[Total Profit]]/DailyTable[[#This Row],[Investment]]</f>
        <v>0.47326546732437025</v>
      </c>
    </row>
    <row r="82" spans="1:13" x14ac:dyDescent="0.35">
      <c r="A82" s="3">
        <v>45708</v>
      </c>
      <c r="B82" t="s">
        <v>35</v>
      </c>
      <c r="C82" s="5">
        <v>0.437</v>
      </c>
      <c r="D82">
        <v>216</v>
      </c>
      <c r="E82" s="7">
        <v>20</v>
      </c>
      <c r="F82" t="s">
        <v>30</v>
      </c>
      <c r="G82" t="s">
        <v>11</v>
      </c>
      <c r="H82" s="7">
        <f t="shared" si="22"/>
        <v>43.2</v>
      </c>
      <c r="I82" s="7">
        <f t="shared" si="23"/>
        <v>3171.7901360544211</v>
      </c>
      <c r="J82" s="7">
        <f t="shared" si="24"/>
        <v>2130</v>
      </c>
      <c r="K82" s="7">
        <f t="shared" si="25"/>
        <v>1041.7901360544211</v>
      </c>
      <c r="L82" s="4">
        <f>IF(DailyTable[[#This Row],[Result (Win/Loss)]]="Win",1,0)</f>
        <v>1</v>
      </c>
      <c r="M82" s="5">
        <f>DailyTable[[#This Row],[Total Profit]]/DailyTable[[#This Row],[Investment]]</f>
        <v>0.48910335026029156</v>
      </c>
    </row>
    <row r="83" spans="1:13" x14ac:dyDescent="0.35">
      <c r="A83" s="3">
        <v>45709</v>
      </c>
      <c r="B83" t="s">
        <v>10</v>
      </c>
      <c r="C83" s="5">
        <v>0.505</v>
      </c>
      <c r="D83">
        <v>472</v>
      </c>
      <c r="E83" s="7">
        <v>25</v>
      </c>
      <c r="F83" t="s">
        <v>22</v>
      </c>
      <c r="G83" t="s">
        <v>29</v>
      </c>
      <c r="H83" s="7">
        <f t="shared" si="22"/>
        <v>-25</v>
      </c>
      <c r="I83" s="7">
        <f t="shared" si="23"/>
        <v>3171.7901360544211</v>
      </c>
      <c r="J83" s="7">
        <f t="shared" si="24"/>
        <v>2155</v>
      </c>
      <c r="K83" s="7">
        <f t="shared" si="25"/>
        <v>1016.7901360544211</v>
      </c>
      <c r="L83" s="4">
        <f>IF(DailyTable[[#This Row],[Result (Win/Loss)]]="Win",1,0)</f>
        <v>0</v>
      </c>
      <c r="M83" s="5">
        <f>DailyTable[[#This Row],[Total Profit]]/DailyTable[[#This Row],[Investment]]</f>
        <v>0.47182836939880329</v>
      </c>
    </row>
    <row r="84" spans="1:13" x14ac:dyDescent="0.35">
      <c r="A84" s="3">
        <v>45709</v>
      </c>
      <c r="B84" t="s">
        <v>12</v>
      </c>
      <c r="C84" s="5">
        <v>0.54400000000000004</v>
      </c>
      <c r="D84">
        <v>240</v>
      </c>
      <c r="E84" s="7">
        <v>25</v>
      </c>
      <c r="F84" t="s">
        <v>22</v>
      </c>
      <c r="G84" t="s">
        <v>29</v>
      </c>
      <c r="H84" s="7">
        <f t="shared" si="22"/>
        <v>-25</v>
      </c>
      <c r="I84" s="7">
        <f t="shared" si="23"/>
        <v>3171.7901360544211</v>
      </c>
      <c r="J84" s="7">
        <f t="shared" si="24"/>
        <v>2180</v>
      </c>
      <c r="K84" s="7">
        <f t="shared" si="25"/>
        <v>991.79013605442105</v>
      </c>
      <c r="L84" s="4">
        <f>IF(DailyTable[[#This Row],[Result (Win/Loss)]]="Win",1,0)</f>
        <v>0</v>
      </c>
      <c r="M84" s="5">
        <f>DailyTable[[#This Row],[Total Profit]]/DailyTable[[#This Row],[Investment]]</f>
        <v>0.45494960369468856</v>
      </c>
    </row>
    <row r="85" spans="1:13" x14ac:dyDescent="0.35">
      <c r="A85" s="3">
        <v>45709</v>
      </c>
      <c r="B85" t="s">
        <v>13</v>
      </c>
      <c r="C85" s="5">
        <v>0.57999999999999996</v>
      </c>
      <c r="D85">
        <v>147</v>
      </c>
      <c r="E85" s="7">
        <v>25</v>
      </c>
      <c r="F85" t="s">
        <v>22</v>
      </c>
      <c r="G85" t="s">
        <v>11</v>
      </c>
      <c r="H85" s="7">
        <f t="shared" si="22"/>
        <v>36.75</v>
      </c>
      <c r="I85" s="7">
        <f t="shared" si="23"/>
        <v>3233.5401360544211</v>
      </c>
      <c r="J85" s="7">
        <f t="shared" si="24"/>
        <v>2205</v>
      </c>
      <c r="K85" s="7">
        <f t="shared" si="25"/>
        <v>1028.5401360544211</v>
      </c>
      <c r="L85" s="4">
        <f>IF(DailyTable[[#This Row],[Result (Win/Loss)]]="Win",1,0)</f>
        <v>1</v>
      </c>
      <c r="M85" s="5">
        <f>DailyTable[[#This Row],[Total Profit]]/DailyTable[[#This Row],[Investment]]</f>
        <v>0.46645811158930661</v>
      </c>
    </row>
    <row r="86" spans="1:13" x14ac:dyDescent="0.35">
      <c r="A86" s="3">
        <v>45709</v>
      </c>
      <c r="B86" t="s">
        <v>31</v>
      </c>
      <c r="C86" s="5">
        <v>0.45</v>
      </c>
      <c r="D86">
        <v>824</v>
      </c>
      <c r="E86" s="7">
        <v>10</v>
      </c>
      <c r="F86" t="s">
        <v>30</v>
      </c>
      <c r="G86" t="s">
        <v>29</v>
      </c>
      <c r="H86" s="7">
        <f t="shared" si="22"/>
        <v>-10</v>
      </c>
      <c r="I86" s="7">
        <f t="shared" si="23"/>
        <v>3233.5401360544211</v>
      </c>
      <c r="J86" s="7">
        <f t="shared" si="24"/>
        <v>2215</v>
      </c>
      <c r="K86" s="7">
        <f t="shared" si="25"/>
        <v>1018.5401360544211</v>
      </c>
      <c r="L86" s="4">
        <f>IF(DailyTable[[#This Row],[Result (Win/Loss)]]="Win",1,0)</f>
        <v>0</v>
      </c>
      <c r="M86" s="5">
        <f>DailyTable[[#This Row],[Total Profit]]/DailyTable[[#This Row],[Investment]]</f>
        <v>0.45983753320741355</v>
      </c>
    </row>
    <row r="87" spans="1:13" x14ac:dyDescent="0.35">
      <c r="A87" s="3">
        <v>45709</v>
      </c>
      <c r="B87" t="s">
        <v>33</v>
      </c>
      <c r="C87" s="5">
        <v>0.40899999999999997</v>
      </c>
      <c r="D87">
        <v>764</v>
      </c>
      <c r="E87" s="7">
        <v>10</v>
      </c>
      <c r="F87" t="s">
        <v>30</v>
      </c>
      <c r="G87" t="s">
        <v>29</v>
      </c>
      <c r="H87" s="7">
        <f t="shared" si="22"/>
        <v>-10</v>
      </c>
      <c r="I87" s="7">
        <f t="shared" si="23"/>
        <v>3233.5401360544211</v>
      </c>
      <c r="J87" s="7">
        <f t="shared" si="24"/>
        <v>2225</v>
      </c>
      <c r="K87" s="7">
        <f t="shared" si="25"/>
        <v>1008.5401360544211</v>
      </c>
      <c r="L87" s="4">
        <f>IF(DailyTable[[#This Row],[Result (Win/Loss)]]="Win",1,0)</f>
        <v>0</v>
      </c>
      <c r="M87" s="5">
        <f>DailyTable[[#This Row],[Total Profit]]/DailyTable[[#This Row],[Investment]]</f>
        <v>0.45327646564243645</v>
      </c>
    </row>
    <row r="88" spans="1:13" x14ac:dyDescent="0.35">
      <c r="A88" s="3">
        <v>45709</v>
      </c>
      <c r="B88" t="s">
        <v>34</v>
      </c>
      <c r="C88" s="5">
        <v>0.26700000000000002</v>
      </c>
      <c r="D88">
        <v>802</v>
      </c>
      <c r="E88" s="7">
        <v>10</v>
      </c>
      <c r="F88" t="s">
        <v>30</v>
      </c>
      <c r="G88" t="s">
        <v>29</v>
      </c>
      <c r="H88" s="7">
        <f t="shared" si="22"/>
        <v>-10</v>
      </c>
      <c r="I88" s="7">
        <f t="shared" si="23"/>
        <v>3233.5401360544211</v>
      </c>
      <c r="J88" s="7">
        <f t="shared" si="24"/>
        <v>2235</v>
      </c>
      <c r="K88" s="7">
        <f t="shared" si="25"/>
        <v>998.54013605442105</v>
      </c>
      <c r="L88" s="4">
        <f>IF(DailyTable[[#This Row],[Result (Win/Loss)]]="Win",1,0)</f>
        <v>0</v>
      </c>
      <c r="M88" s="5">
        <f>DailyTable[[#This Row],[Total Profit]]/DailyTable[[#This Row],[Investment]]</f>
        <v>0.44677411009146356</v>
      </c>
    </row>
    <row r="89" spans="1:13" x14ac:dyDescent="0.35">
      <c r="A89" s="3">
        <v>45709</v>
      </c>
      <c r="B89" t="s">
        <v>35</v>
      </c>
      <c r="C89" s="5">
        <v>0.51700000000000002</v>
      </c>
      <c r="D89">
        <v>297</v>
      </c>
      <c r="E89" s="7">
        <v>10</v>
      </c>
      <c r="F89" t="s">
        <v>30</v>
      </c>
      <c r="G89" t="s">
        <v>11</v>
      </c>
      <c r="H89" s="7">
        <f t="shared" si="22"/>
        <v>29.7</v>
      </c>
      <c r="I89" s="7">
        <f t="shared" si="23"/>
        <v>3273.2401360544209</v>
      </c>
      <c r="J89" s="7">
        <f t="shared" si="24"/>
        <v>2245</v>
      </c>
      <c r="K89" s="7">
        <f t="shared" si="25"/>
        <v>1028.2401360544209</v>
      </c>
      <c r="L89" s="4">
        <f>IF(DailyTable[[#This Row],[Result (Win/Loss)]]="Win",1,0)</f>
        <v>1</v>
      </c>
      <c r="M89" s="5">
        <f>DailyTable[[#This Row],[Total Profit]]/DailyTable[[#This Row],[Investment]]</f>
        <v>0.45801342363225872</v>
      </c>
    </row>
    <row r="90" spans="1:13" x14ac:dyDescent="0.35">
      <c r="A90" s="3">
        <v>45710</v>
      </c>
      <c r="B90" t="s">
        <v>10</v>
      </c>
      <c r="C90" s="5">
        <v>0.53700000000000003</v>
      </c>
      <c r="D90">
        <v>170</v>
      </c>
      <c r="E90" s="7">
        <v>25</v>
      </c>
      <c r="F90" t="s">
        <v>32</v>
      </c>
      <c r="G90" t="s">
        <v>29</v>
      </c>
      <c r="H90" s="7">
        <f t="shared" si="22"/>
        <v>-25</v>
      </c>
      <c r="I90" s="7">
        <f t="shared" si="23"/>
        <v>3273.2401360544209</v>
      </c>
      <c r="J90" s="7">
        <f t="shared" si="24"/>
        <v>2270</v>
      </c>
      <c r="K90" s="7">
        <f t="shared" si="25"/>
        <v>1003.2401360544209</v>
      </c>
      <c r="L90" s="4">
        <f>IF(DailyTable[[#This Row],[Result (Win/Loss)]]="Win",1,0)</f>
        <v>0</v>
      </c>
      <c r="M90" s="5">
        <f>DailyTable[[#This Row],[Total Profit]]/DailyTable[[#This Row],[Investment]]</f>
        <v>0.4419560070724321</v>
      </c>
    </row>
    <row r="91" spans="1:13" x14ac:dyDescent="0.35">
      <c r="A91" s="3">
        <v>45710</v>
      </c>
      <c r="B91" t="s">
        <v>12</v>
      </c>
      <c r="C91" s="5">
        <v>0.74399999999999999</v>
      </c>
      <c r="D91">
        <v>-109</v>
      </c>
      <c r="E91" s="7">
        <v>25</v>
      </c>
      <c r="F91" t="s">
        <v>32</v>
      </c>
      <c r="G91" t="s">
        <v>11</v>
      </c>
      <c r="H91" s="7">
        <f t="shared" si="22"/>
        <v>22.935779816513762</v>
      </c>
      <c r="I91" s="7">
        <f t="shared" si="23"/>
        <v>3321.1759158709347</v>
      </c>
      <c r="J91" s="7">
        <f t="shared" si="24"/>
        <v>2295</v>
      </c>
      <c r="K91" s="7">
        <f t="shared" si="25"/>
        <v>1026.1759158709347</v>
      </c>
      <c r="L91" s="4">
        <f>IF(DailyTable[[#This Row],[Result (Win/Loss)]]="Win",1,0)</f>
        <v>1</v>
      </c>
      <c r="M91" s="5">
        <f>DailyTable[[#This Row],[Total Profit]]/DailyTable[[#This Row],[Investment]]</f>
        <v>0.44713547532502601</v>
      </c>
    </row>
    <row r="92" spans="1:13" x14ac:dyDescent="0.35">
      <c r="A92" s="3">
        <v>45710</v>
      </c>
      <c r="B92" t="s">
        <v>13</v>
      </c>
      <c r="C92" s="5">
        <v>0.39900000000000002</v>
      </c>
      <c r="D92">
        <v>342</v>
      </c>
      <c r="E92" s="7">
        <v>25</v>
      </c>
      <c r="F92" t="s">
        <v>22</v>
      </c>
      <c r="G92" t="s">
        <v>29</v>
      </c>
      <c r="H92" s="7">
        <f t="shared" ref="H92:H99" si="26">IF(G92="Win", IF(D92&gt;0, E92*D92/100, E92*100/ABS(D92)), -E92)</f>
        <v>-25</v>
      </c>
      <c r="I92" s="7">
        <f t="shared" ref="I92:I99" si="27">H92+E92+I91</f>
        <v>3321.1759158709347</v>
      </c>
      <c r="J92" s="7">
        <f t="shared" ref="J92:J99" si="28">J91+E92</f>
        <v>2320</v>
      </c>
      <c r="K92" s="7">
        <f t="shared" ref="K92:K99" si="29">I92-J92</f>
        <v>1001.1759158709347</v>
      </c>
      <c r="L92" s="4">
        <f>IF(DailyTable[[#This Row],[Result (Win/Loss)]]="Win",1,0)</f>
        <v>0</v>
      </c>
      <c r="M92" s="5">
        <f>DailyTable[[#This Row],[Total Profit]]/DailyTable[[#This Row],[Investment]]</f>
        <v>0.43154134304781666</v>
      </c>
    </row>
    <row r="93" spans="1:13" x14ac:dyDescent="0.35">
      <c r="A93" s="3">
        <v>45711</v>
      </c>
      <c r="B93" t="s">
        <v>10</v>
      </c>
      <c r="C93" s="5">
        <v>0.45600000000000002</v>
      </c>
      <c r="D93">
        <v>633</v>
      </c>
      <c r="E93" s="7">
        <v>25</v>
      </c>
      <c r="F93" t="s">
        <v>22</v>
      </c>
      <c r="G93" t="s">
        <v>29</v>
      </c>
      <c r="H93" s="7">
        <f t="shared" si="26"/>
        <v>-25</v>
      </c>
      <c r="I93" s="7">
        <f t="shared" si="27"/>
        <v>3321.1759158709347</v>
      </c>
      <c r="J93" s="7">
        <f t="shared" si="28"/>
        <v>2345</v>
      </c>
      <c r="K93" s="7">
        <f t="shared" si="29"/>
        <v>976.17591587093466</v>
      </c>
      <c r="L93" s="4">
        <f>IF(DailyTable[[#This Row],[Result (Win/Loss)]]="Win",1,0)</f>
        <v>0</v>
      </c>
      <c r="M93" s="5">
        <f>DailyTable[[#This Row],[Total Profit]]/DailyTable[[#This Row],[Investment]]</f>
        <v>0.41627970826052652</v>
      </c>
    </row>
    <row r="94" spans="1:13" x14ac:dyDescent="0.35">
      <c r="A94" s="3">
        <v>45711</v>
      </c>
      <c r="B94" t="s">
        <v>12</v>
      </c>
      <c r="C94" s="5">
        <v>0.44700000000000001</v>
      </c>
      <c r="D94">
        <v>384</v>
      </c>
      <c r="E94" s="7">
        <v>25</v>
      </c>
      <c r="F94" t="s">
        <v>22</v>
      </c>
      <c r="G94" t="s">
        <v>29</v>
      </c>
      <c r="H94" s="7">
        <f t="shared" si="26"/>
        <v>-25</v>
      </c>
      <c r="I94" s="7">
        <f t="shared" si="27"/>
        <v>3321.1759158709347</v>
      </c>
      <c r="J94" s="7">
        <f t="shared" si="28"/>
        <v>2370</v>
      </c>
      <c r="K94" s="7">
        <f t="shared" si="29"/>
        <v>951.17591587093466</v>
      </c>
      <c r="L94" s="4">
        <f>IF(DailyTable[[#This Row],[Result (Win/Loss)]]="Win",1,0)</f>
        <v>0</v>
      </c>
      <c r="M94" s="5">
        <f>DailyTable[[#This Row],[Total Profit]]/DailyTable[[#This Row],[Investment]]</f>
        <v>0.40134004889068975</v>
      </c>
    </row>
    <row r="95" spans="1:13" x14ac:dyDescent="0.35">
      <c r="A95" s="3">
        <v>45711</v>
      </c>
      <c r="B95" t="s">
        <v>13</v>
      </c>
      <c r="C95" s="5">
        <v>0.65400000000000003</v>
      </c>
      <c r="D95">
        <v>141</v>
      </c>
      <c r="E95" s="7">
        <v>25</v>
      </c>
      <c r="F95" t="s">
        <v>22</v>
      </c>
      <c r="G95" t="s">
        <v>11</v>
      </c>
      <c r="H95" s="7">
        <f t="shared" si="26"/>
        <v>35.25</v>
      </c>
      <c r="I95" s="7">
        <f t="shared" si="27"/>
        <v>3381.4259158709347</v>
      </c>
      <c r="J95" s="7">
        <f t="shared" si="28"/>
        <v>2395</v>
      </c>
      <c r="K95" s="7">
        <f t="shared" si="29"/>
        <v>986.42591587093466</v>
      </c>
      <c r="L95" s="4">
        <f>IF(DailyTable[[#This Row],[Result (Win/Loss)]]="Win",1,0)</f>
        <v>1</v>
      </c>
      <c r="M95" s="5">
        <f>DailyTable[[#This Row],[Total Profit]]/DailyTable[[#This Row],[Investment]]</f>
        <v>0.41186885840122534</v>
      </c>
    </row>
    <row r="96" spans="1:13" x14ac:dyDescent="0.35">
      <c r="A96" s="3">
        <v>45711</v>
      </c>
      <c r="B96" t="s">
        <v>31</v>
      </c>
      <c r="C96" s="5">
        <v>0.52500000000000002</v>
      </c>
      <c r="D96">
        <v>110</v>
      </c>
      <c r="E96" s="7">
        <v>25</v>
      </c>
      <c r="F96" t="s">
        <v>22</v>
      </c>
      <c r="G96" t="s">
        <v>11</v>
      </c>
      <c r="H96" s="7">
        <f t="shared" si="26"/>
        <v>27.5</v>
      </c>
      <c r="I96" s="7">
        <f t="shared" si="27"/>
        <v>3433.9259158709347</v>
      </c>
      <c r="J96" s="7">
        <f t="shared" si="28"/>
        <v>2420</v>
      </c>
      <c r="K96" s="7">
        <f t="shared" si="29"/>
        <v>1013.9259158709347</v>
      </c>
      <c r="L96" s="4">
        <f>IF(DailyTable[[#This Row],[Result (Win/Loss)]]="Win",1,0)</f>
        <v>1</v>
      </c>
      <c r="M96" s="5">
        <f>DailyTable[[#This Row],[Total Profit]]/DailyTable[[#This Row],[Investment]]</f>
        <v>0.41897765118633662</v>
      </c>
    </row>
    <row r="97" spans="1:13" x14ac:dyDescent="0.35">
      <c r="A97" s="3">
        <v>45711</v>
      </c>
      <c r="B97" t="s">
        <v>33</v>
      </c>
      <c r="C97" s="5">
        <v>0.308</v>
      </c>
      <c r="D97">
        <v>1581</v>
      </c>
      <c r="E97" s="7">
        <v>25</v>
      </c>
      <c r="F97" t="s">
        <v>30</v>
      </c>
      <c r="G97" t="s">
        <v>29</v>
      </c>
      <c r="H97" s="7">
        <f t="shared" si="26"/>
        <v>-25</v>
      </c>
      <c r="I97" s="7">
        <f t="shared" si="27"/>
        <v>3433.9259158709347</v>
      </c>
      <c r="J97" s="7">
        <f t="shared" si="28"/>
        <v>2445</v>
      </c>
      <c r="K97" s="7">
        <f t="shared" si="29"/>
        <v>988.92591587093466</v>
      </c>
      <c r="L97" s="4">
        <f>IF(DailyTable[[#This Row],[Result (Win/Loss)]]="Win",1,0)</f>
        <v>0</v>
      </c>
      <c r="M97" s="5">
        <f>DailyTable[[#This Row],[Total Profit]]/DailyTable[[#This Row],[Investment]]</f>
        <v>0.40446867724782604</v>
      </c>
    </row>
    <row r="98" spans="1:13" x14ac:dyDescent="0.35">
      <c r="A98" s="3">
        <v>45711</v>
      </c>
      <c r="B98" t="s">
        <v>34</v>
      </c>
      <c r="C98" s="5">
        <v>0.33600000000000002</v>
      </c>
      <c r="D98">
        <v>1236</v>
      </c>
      <c r="E98" s="7">
        <v>10</v>
      </c>
      <c r="F98" t="s">
        <v>30</v>
      </c>
      <c r="G98" t="s">
        <v>29</v>
      </c>
      <c r="H98" s="7">
        <f t="shared" si="26"/>
        <v>-10</v>
      </c>
      <c r="I98" s="7">
        <f t="shared" si="27"/>
        <v>3433.9259158709347</v>
      </c>
      <c r="J98" s="7">
        <f t="shared" si="28"/>
        <v>2455</v>
      </c>
      <c r="K98" s="7">
        <f t="shared" si="29"/>
        <v>978.92591587093466</v>
      </c>
      <c r="L98" s="4">
        <f>IF(DailyTable[[#This Row],[Result (Win/Loss)]]="Win",1,0)</f>
        <v>0</v>
      </c>
      <c r="M98" s="5">
        <f>DailyTable[[#This Row],[Total Profit]]/DailyTable[[#This Row],[Investment]]</f>
        <v>0.39874782723866992</v>
      </c>
    </row>
    <row r="99" spans="1:13" x14ac:dyDescent="0.35">
      <c r="A99" s="3">
        <v>45711</v>
      </c>
      <c r="B99" t="s">
        <v>35</v>
      </c>
      <c r="C99" s="5">
        <v>0.32300000000000001</v>
      </c>
      <c r="D99">
        <v>852</v>
      </c>
      <c r="E99" s="7">
        <v>10</v>
      </c>
      <c r="F99" t="s">
        <v>30</v>
      </c>
      <c r="G99" t="s">
        <v>29</v>
      </c>
      <c r="H99" s="7">
        <f t="shared" si="26"/>
        <v>-10</v>
      </c>
      <c r="I99" s="7">
        <f t="shared" si="27"/>
        <v>3433.9259158709347</v>
      </c>
      <c r="J99" s="7">
        <f t="shared" si="28"/>
        <v>2465</v>
      </c>
      <c r="K99" s="7">
        <f t="shared" si="29"/>
        <v>968.92591587093466</v>
      </c>
      <c r="L99" s="4">
        <f>IF(DailyTable[[#This Row],[Result (Win/Loss)]]="Win",1,0)</f>
        <v>0</v>
      </c>
      <c r="M99" s="5">
        <f>DailyTable[[#This Row],[Total Profit]]/DailyTable[[#This Row],[Investment]]</f>
        <v>0.39307339386244816</v>
      </c>
    </row>
    <row r="100" spans="1:13" x14ac:dyDescent="0.35">
      <c r="A100" s="3">
        <v>45711</v>
      </c>
      <c r="B100" t="s">
        <v>36</v>
      </c>
      <c r="C100" s="5">
        <v>0.38800000000000001</v>
      </c>
      <c r="D100">
        <v>628</v>
      </c>
      <c r="E100" s="7">
        <v>10</v>
      </c>
      <c r="F100" t="s">
        <v>30</v>
      </c>
      <c r="G100" t="s">
        <v>29</v>
      </c>
      <c r="H100" s="7">
        <f t="shared" ref="H100:H107" si="30">IF(G100="Win", IF(D100&gt;0, E100*D100/100, E100*100/ABS(D100)), -E100)</f>
        <v>-10</v>
      </c>
      <c r="I100" s="7">
        <f t="shared" ref="I100:I107" si="31">H100+E100+I99</f>
        <v>3433.9259158709347</v>
      </c>
      <c r="J100" s="7">
        <f t="shared" ref="J100:J107" si="32">J99+E100</f>
        <v>2475</v>
      </c>
      <c r="K100" s="7">
        <f t="shared" ref="K100:K107" si="33">I100-J100</f>
        <v>958.92591587093466</v>
      </c>
      <c r="L100" s="4">
        <f>IF(DailyTable[[#This Row],[Result (Win/Loss)]]="Win",1,0)</f>
        <v>0</v>
      </c>
      <c r="M100" s="5">
        <f>DailyTable[[#This Row],[Total Profit]]/DailyTable[[#This Row],[Investment]]</f>
        <v>0.38744481449330692</v>
      </c>
    </row>
    <row r="101" spans="1:13" x14ac:dyDescent="0.35">
      <c r="A101" s="3">
        <v>45711</v>
      </c>
      <c r="B101" t="s">
        <v>37</v>
      </c>
      <c r="C101" s="5">
        <v>0.441</v>
      </c>
      <c r="D101">
        <v>454</v>
      </c>
      <c r="E101" s="7">
        <v>10</v>
      </c>
      <c r="F101" t="s">
        <v>30</v>
      </c>
      <c r="G101" t="s">
        <v>29</v>
      </c>
      <c r="H101" s="7">
        <f t="shared" si="30"/>
        <v>-10</v>
      </c>
      <c r="I101" s="7">
        <f t="shared" si="31"/>
        <v>3433.9259158709347</v>
      </c>
      <c r="J101" s="7">
        <f t="shared" si="32"/>
        <v>2485</v>
      </c>
      <c r="K101" s="7">
        <f t="shared" si="33"/>
        <v>948.92591587093466</v>
      </c>
      <c r="L101" s="4">
        <f>IF(DailyTable[[#This Row],[Result (Win/Loss)]]="Win",1,0)</f>
        <v>0</v>
      </c>
      <c r="M101" s="5">
        <f>DailyTable[[#This Row],[Total Profit]]/DailyTable[[#This Row],[Investment]]</f>
        <v>0.38186153556174435</v>
      </c>
    </row>
    <row r="102" spans="1:13" x14ac:dyDescent="0.35">
      <c r="A102" s="3">
        <v>45712</v>
      </c>
      <c r="B102" t="s">
        <v>10</v>
      </c>
      <c r="C102" s="5">
        <v>0.54300000000000004</v>
      </c>
      <c r="D102">
        <v>361</v>
      </c>
      <c r="E102" s="7">
        <v>25</v>
      </c>
      <c r="F102" t="s">
        <v>22</v>
      </c>
      <c r="G102" t="s">
        <v>11</v>
      </c>
      <c r="H102" s="7">
        <f t="shared" si="30"/>
        <v>90.25</v>
      </c>
      <c r="I102" s="7">
        <f t="shared" si="31"/>
        <v>3549.1759158709347</v>
      </c>
      <c r="J102" s="7">
        <f t="shared" si="32"/>
        <v>2510</v>
      </c>
      <c r="K102" s="7">
        <f t="shared" si="33"/>
        <v>1039.1759158709347</v>
      </c>
      <c r="L102" s="4">
        <f>IF(DailyTable[[#This Row],[Result (Win/Loss)]]="Win",1,0)</f>
        <v>1</v>
      </c>
      <c r="M102" s="5">
        <f>DailyTable[[#This Row],[Total Profit]]/DailyTable[[#This Row],[Investment]]</f>
        <v>0.41401430911192616</v>
      </c>
    </row>
    <row r="103" spans="1:13" x14ac:dyDescent="0.35">
      <c r="A103" s="3">
        <v>45712</v>
      </c>
      <c r="B103" t="s">
        <v>12</v>
      </c>
      <c r="C103" s="5">
        <v>0.53200000000000003</v>
      </c>
      <c r="D103">
        <v>350</v>
      </c>
      <c r="E103" s="7">
        <v>25</v>
      </c>
      <c r="F103" t="s">
        <v>22</v>
      </c>
      <c r="G103" t="s">
        <v>29</v>
      </c>
      <c r="H103" s="7">
        <f t="shared" si="30"/>
        <v>-25</v>
      </c>
      <c r="I103" s="7">
        <f t="shared" si="31"/>
        <v>3549.1759158709347</v>
      </c>
      <c r="J103" s="7">
        <f t="shared" si="32"/>
        <v>2535</v>
      </c>
      <c r="K103" s="7">
        <f t="shared" si="33"/>
        <v>1014.1759158709347</v>
      </c>
      <c r="L103" s="4">
        <f>IF(DailyTable[[#This Row],[Result (Win/Loss)]]="Win",1,0)</f>
        <v>0</v>
      </c>
      <c r="M103" s="5">
        <f>DailyTable[[#This Row],[Total Profit]]/DailyTable[[#This Row],[Investment]]</f>
        <v>0.4000693948208815</v>
      </c>
    </row>
    <row r="104" spans="1:13" x14ac:dyDescent="0.35">
      <c r="A104" s="3">
        <v>45712</v>
      </c>
      <c r="B104" t="s">
        <v>13</v>
      </c>
      <c r="C104" s="5">
        <v>0.58299999999999996</v>
      </c>
      <c r="D104">
        <v>288</v>
      </c>
      <c r="E104" s="7">
        <v>25</v>
      </c>
      <c r="F104" t="s">
        <v>22</v>
      </c>
      <c r="G104" t="s">
        <v>29</v>
      </c>
      <c r="H104" s="7">
        <f t="shared" si="30"/>
        <v>-25</v>
      </c>
      <c r="I104" s="7">
        <f t="shared" si="31"/>
        <v>3549.1759158709347</v>
      </c>
      <c r="J104" s="7">
        <f t="shared" si="32"/>
        <v>2560</v>
      </c>
      <c r="K104" s="7">
        <f t="shared" si="33"/>
        <v>989.17591587093466</v>
      </c>
      <c r="L104" s="4">
        <f>IF(DailyTable[[#This Row],[Result (Win/Loss)]]="Win",1,0)</f>
        <v>0</v>
      </c>
      <c r="M104" s="5">
        <f>DailyTable[[#This Row],[Total Profit]]/DailyTable[[#This Row],[Investment]]</f>
        <v>0.38639684213708386</v>
      </c>
    </row>
    <row r="105" spans="1:13" x14ac:dyDescent="0.35">
      <c r="A105" s="3">
        <v>45712</v>
      </c>
      <c r="B105" t="s">
        <v>31</v>
      </c>
      <c r="C105" s="5">
        <v>0.52300000000000002</v>
      </c>
      <c r="D105">
        <v>362</v>
      </c>
      <c r="E105" s="7">
        <v>25</v>
      </c>
      <c r="F105" t="s">
        <v>22</v>
      </c>
      <c r="G105" t="s">
        <v>11</v>
      </c>
      <c r="H105" s="7">
        <f t="shared" si="30"/>
        <v>90.5</v>
      </c>
      <c r="I105" s="7">
        <f t="shared" si="31"/>
        <v>3664.6759158709347</v>
      </c>
      <c r="J105" s="7">
        <f t="shared" si="32"/>
        <v>2585</v>
      </c>
      <c r="K105" s="7">
        <f t="shared" si="33"/>
        <v>1079.6759158709347</v>
      </c>
      <c r="L105" s="4">
        <f>IF(DailyTable[[#This Row],[Result (Win/Loss)]]="Win",1,0)</f>
        <v>1</v>
      </c>
      <c r="M105" s="5">
        <f>DailyTable[[#This Row],[Total Profit]]/DailyTable[[#This Row],[Investment]]</f>
        <v>0.41766959995007141</v>
      </c>
    </row>
    <row r="106" spans="1:13" x14ac:dyDescent="0.35">
      <c r="A106" s="3">
        <v>45712</v>
      </c>
      <c r="B106" t="s">
        <v>33</v>
      </c>
      <c r="C106" s="5">
        <v>0.441</v>
      </c>
      <c r="D106">
        <v>616</v>
      </c>
      <c r="E106" s="7">
        <v>25</v>
      </c>
      <c r="F106" t="s">
        <v>22</v>
      </c>
      <c r="G106" t="s">
        <v>29</v>
      </c>
      <c r="H106" s="7">
        <f t="shared" si="30"/>
        <v>-25</v>
      </c>
      <c r="I106" s="7">
        <f t="shared" si="31"/>
        <v>3664.6759158709347</v>
      </c>
      <c r="J106" s="7">
        <f t="shared" si="32"/>
        <v>2610</v>
      </c>
      <c r="K106" s="7">
        <f t="shared" si="33"/>
        <v>1054.6759158709347</v>
      </c>
      <c r="L106" s="4">
        <f>IF(DailyTable[[#This Row],[Result (Win/Loss)]]="Win",1,0)</f>
        <v>0</v>
      </c>
      <c r="M106" s="5">
        <f>DailyTable[[#This Row],[Total Profit]]/DailyTable[[#This Row],[Investment]]</f>
        <v>0.40409038922258034</v>
      </c>
    </row>
    <row r="107" spans="1:13" x14ac:dyDescent="0.35">
      <c r="A107" s="3">
        <v>45712</v>
      </c>
      <c r="B107" t="s">
        <v>34</v>
      </c>
      <c r="C107" s="5">
        <v>0.32</v>
      </c>
      <c r="D107">
        <v>1623</v>
      </c>
      <c r="E107" s="7">
        <v>10</v>
      </c>
      <c r="F107" t="s">
        <v>30</v>
      </c>
      <c r="G107" t="s">
        <v>29</v>
      </c>
      <c r="H107" s="7">
        <f t="shared" si="30"/>
        <v>-10</v>
      </c>
      <c r="I107" s="7">
        <f t="shared" si="31"/>
        <v>3664.6759158709347</v>
      </c>
      <c r="J107" s="7">
        <f t="shared" si="32"/>
        <v>2620</v>
      </c>
      <c r="K107" s="7">
        <f t="shared" si="33"/>
        <v>1044.6759158709347</v>
      </c>
      <c r="L107" s="4">
        <f>IF(DailyTable[[#This Row],[Result (Win/Loss)]]="Win",1,0)</f>
        <v>0</v>
      </c>
      <c r="M107" s="5">
        <f>DailyTable[[#This Row],[Total Profit]]/DailyTable[[#This Row],[Investment]]</f>
        <v>0.39873126559959338</v>
      </c>
    </row>
    <row r="108" spans="1:13" x14ac:dyDescent="0.35">
      <c r="A108" s="3">
        <v>45712</v>
      </c>
      <c r="B108" t="s">
        <v>35</v>
      </c>
      <c r="C108" s="5">
        <v>0.36399999999999999</v>
      </c>
      <c r="D108">
        <v>859</v>
      </c>
      <c r="E108" s="7">
        <v>10</v>
      </c>
      <c r="F108" t="s">
        <v>30</v>
      </c>
      <c r="G108" t="s">
        <v>29</v>
      </c>
      <c r="H108" s="7">
        <f t="shared" ref="H108:H128" si="34">IF(G108="Win", IF(D108&gt;0, E108*D108/100, E108*100/ABS(D108)), -E108)</f>
        <v>-10</v>
      </c>
      <c r="I108" s="7">
        <f t="shared" ref="I108:I128" si="35">H108+E108+I107</f>
        <v>3664.6759158709347</v>
      </c>
      <c r="J108" s="7">
        <f t="shared" ref="J108:J128" si="36">J107+E108</f>
        <v>2630</v>
      </c>
      <c r="K108" s="7">
        <f t="shared" ref="K108:K128" si="37">I108-J108</f>
        <v>1034.6759158709347</v>
      </c>
      <c r="L108" s="4">
        <f>IF(DailyTable[[#This Row],[Result (Win/Loss)]]="Win",1,0)</f>
        <v>0</v>
      </c>
      <c r="M108" s="5">
        <f>DailyTable[[#This Row],[Total Profit]]/DailyTable[[#This Row],[Investment]]</f>
        <v>0.3934128957684162</v>
      </c>
    </row>
    <row r="109" spans="1:13" x14ac:dyDescent="0.35">
      <c r="A109" s="3">
        <v>45713</v>
      </c>
      <c r="B109" t="s">
        <v>10</v>
      </c>
      <c r="C109" s="5">
        <v>0.33300000000000002</v>
      </c>
      <c r="D109">
        <v>927</v>
      </c>
      <c r="E109" s="7">
        <v>25</v>
      </c>
      <c r="F109" t="s">
        <v>22</v>
      </c>
      <c r="G109" t="s">
        <v>29</v>
      </c>
      <c r="H109" s="7">
        <f t="shared" si="34"/>
        <v>-25</v>
      </c>
      <c r="I109" s="7">
        <f t="shared" si="35"/>
        <v>3664.6759158709347</v>
      </c>
      <c r="J109" s="7">
        <f t="shared" si="36"/>
        <v>2655</v>
      </c>
      <c r="K109" s="7">
        <f t="shared" si="37"/>
        <v>1009.6759158709347</v>
      </c>
      <c r="L109" s="4">
        <f>IF(DailyTable[[#This Row],[Result (Win/Loss)]]="Win",1,0)</f>
        <v>0</v>
      </c>
      <c r="M109" s="5">
        <f>DailyTable[[#This Row],[Total Profit]]/DailyTable[[#This Row],[Investment]]</f>
        <v>0.38029224703236708</v>
      </c>
    </row>
    <row r="110" spans="1:13" x14ac:dyDescent="0.35">
      <c r="A110" s="3">
        <v>45713</v>
      </c>
      <c r="B110" t="s">
        <v>12</v>
      </c>
      <c r="C110" s="5">
        <v>0.72599999999999998</v>
      </c>
      <c r="D110">
        <v>-149</v>
      </c>
      <c r="E110" s="7">
        <v>25</v>
      </c>
      <c r="F110" t="s">
        <v>22</v>
      </c>
      <c r="G110" t="s">
        <v>11</v>
      </c>
      <c r="H110" s="7">
        <f t="shared" si="34"/>
        <v>16.778523489932887</v>
      </c>
      <c r="I110" s="7">
        <f t="shared" si="35"/>
        <v>3706.4544393608676</v>
      </c>
      <c r="J110" s="7">
        <f t="shared" si="36"/>
        <v>2680</v>
      </c>
      <c r="K110" s="7">
        <f t="shared" si="37"/>
        <v>1026.4544393608676</v>
      </c>
      <c r="L110" s="4">
        <f>IF(DailyTable[[#This Row],[Result (Win/Loss)]]="Win",1,0)</f>
        <v>1</v>
      </c>
      <c r="M110" s="5">
        <f>DailyTable[[#This Row],[Total Profit]]/DailyTable[[#This Row],[Investment]]</f>
        <v>0.38300538782121923</v>
      </c>
    </row>
    <row r="111" spans="1:13" x14ac:dyDescent="0.35">
      <c r="A111" s="3">
        <v>45713</v>
      </c>
      <c r="B111" t="s">
        <v>13</v>
      </c>
      <c r="C111" s="5">
        <v>0.25800000000000001</v>
      </c>
      <c r="D111">
        <v>1360</v>
      </c>
      <c r="E111" s="7">
        <v>25</v>
      </c>
      <c r="F111" t="s">
        <v>30</v>
      </c>
      <c r="G111" t="s">
        <v>29</v>
      </c>
      <c r="H111" s="7">
        <f t="shared" si="34"/>
        <v>-25</v>
      </c>
      <c r="I111" s="7">
        <f t="shared" si="35"/>
        <v>3706.4544393608676</v>
      </c>
      <c r="J111" s="7">
        <f t="shared" si="36"/>
        <v>2705</v>
      </c>
      <c r="K111" s="7">
        <f t="shared" si="37"/>
        <v>1001.4544393608676</v>
      </c>
      <c r="L111" s="4">
        <f>IF(DailyTable[[#This Row],[Result (Win/Loss)]]="Win",1,0)</f>
        <v>0</v>
      </c>
      <c r="M111" s="5">
        <f>DailyTable[[#This Row],[Total Profit]]/DailyTable[[#This Row],[Investment]]</f>
        <v>0.37022345262878653</v>
      </c>
    </row>
    <row r="112" spans="1:13" x14ac:dyDescent="0.35">
      <c r="A112" s="3">
        <v>45714</v>
      </c>
      <c r="B112" t="s">
        <v>10</v>
      </c>
      <c r="C112" s="5">
        <v>0.65500000000000003</v>
      </c>
      <c r="D112">
        <v>300</v>
      </c>
      <c r="E112" s="7">
        <v>24</v>
      </c>
      <c r="F112" t="s">
        <v>32</v>
      </c>
      <c r="G112" t="s">
        <v>29</v>
      </c>
      <c r="H112" s="7">
        <f t="shared" si="34"/>
        <v>-24</v>
      </c>
      <c r="I112" s="7">
        <f t="shared" si="35"/>
        <v>3706.4544393608676</v>
      </c>
      <c r="J112" s="7">
        <f t="shared" si="36"/>
        <v>2729</v>
      </c>
      <c r="K112" s="7">
        <f t="shared" si="37"/>
        <v>977.45443936086758</v>
      </c>
      <c r="L112" s="4">
        <f>IF(DailyTable[[#This Row],[Result (Win/Loss)]]="Win",1,0)</f>
        <v>0</v>
      </c>
      <c r="M112" s="5">
        <f>DailyTable[[#This Row],[Total Profit]]/DailyTable[[#This Row],[Investment]]</f>
        <v>0.3581731181241728</v>
      </c>
    </row>
    <row r="113" spans="1:13" x14ac:dyDescent="0.35">
      <c r="A113" s="3">
        <v>45714</v>
      </c>
      <c r="B113" t="s">
        <v>12</v>
      </c>
      <c r="C113" s="5">
        <v>0.505</v>
      </c>
      <c r="D113">
        <v>160</v>
      </c>
      <c r="E113" s="7">
        <v>15.14</v>
      </c>
      <c r="F113" t="s">
        <v>32</v>
      </c>
      <c r="G113" t="s">
        <v>11</v>
      </c>
      <c r="H113" s="7">
        <f t="shared" si="34"/>
        <v>24.224</v>
      </c>
      <c r="I113" s="7">
        <f t="shared" si="35"/>
        <v>3745.8184393608676</v>
      </c>
      <c r="J113" s="7">
        <f t="shared" si="36"/>
        <v>2744.14</v>
      </c>
      <c r="K113" s="7">
        <f t="shared" si="37"/>
        <v>1001.6784393608677</v>
      </c>
      <c r="L113" s="4">
        <f>IF(DailyTable[[#This Row],[Result (Win/Loss)]]="Win",1,0)</f>
        <v>1</v>
      </c>
      <c r="M113" s="5">
        <f>DailyTable[[#This Row],[Total Profit]]/DailyTable[[#This Row],[Investment]]</f>
        <v>0.36502453933139994</v>
      </c>
    </row>
    <row r="114" spans="1:13" x14ac:dyDescent="0.35">
      <c r="A114" s="3">
        <v>45714</v>
      </c>
      <c r="B114" t="s">
        <v>13</v>
      </c>
      <c r="C114" s="5">
        <v>0.52300000000000002</v>
      </c>
      <c r="D114">
        <v>120</v>
      </c>
      <c r="E114" s="7">
        <v>11.73</v>
      </c>
      <c r="F114" t="s">
        <v>32</v>
      </c>
      <c r="G114" t="s">
        <v>29</v>
      </c>
      <c r="H114" s="7">
        <f t="shared" si="34"/>
        <v>-11.73</v>
      </c>
      <c r="I114" s="7">
        <f t="shared" si="35"/>
        <v>3745.8184393608676</v>
      </c>
      <c r="J114" s="7">
        <f t="shared" si="36"/>
        <v>2755.87</v>
      </c>
      <c r="K114" s="7">
        <f t="shared" si="37"/>
        <v>989.94843936086772</v>
      </c>
      <c r="L114" s="4">
        <f>IF(DailyTable[[#This Row],[Result (Win/Loss)]]="Win",1,0)</f>
        <v>0</v>
      </c>
      <c r="M114" s="5">
        <f>DailyTable[[#This Row],[Total Profit]]/DailyTable[[#This Row],[Investment]]</f>
        <v>0.35921449101767056</v>
      </c>
    </row>
    <row r="115" spans="1:13" x14ac:dyDescent="0.35">
      <c r="A115" s="3">
        <v>45714</v>
      </c>
      <c r="B115" t="s">
        <v>31</v>
      </c>
      <c r="C115" s="5">
        <v>0.92600000000000005</v>
      </c>
      <c r="D115">
        <v>-455</v>
      </c>
      <c r="E115" s="7">
        <v>13.1</v>
      </c>
      <c r="F115" t="s">
        <v>32</v>
      </c>
      <c r="G115" t="s">
        <v>11</v>
      </c>
      <c r="H115" s="7">
        <f t="shared" si="34"/>
        <v>2.8791208791208791</v>
      </c>
      <c r="I115" s="7">
        <f t="shared" si="35"/>
        <v>3761.7975602399883</v>
      </c>
      <c r="J115" s="7">
        <f t="shared" si="36"/>
        <v>2768.97</v>
      </c>
      <c r="K115" s="7">
        <f t="shared" si="37"/>
        <v>992.82756023998854</v>
      </c>
      <c r="L115" s="4">
        <f>IF(DailyTable[[#This Row],[Result (Win/Loss)]]="Win",1,0)</f>
        <v>1</v>
      </c>
      <c r="M115" s="5">
        <f>DailyTable[[#This Row],[Total Profit]]/DailyTable[[#This Row],[Investment]]</f>
        <v>0.35855482733290306</v>
      </c>
    </row>
    <row r="116" spans="1:13" x14ac:dyDescent="0.35">
      <c r="A116" s="3">
        <v>45714</v>
      </c>
      <c r="B116" t="s">
        <v>33</v>
      </c>
      <c r="C116" s="5">
        <v>0.93500000000000005</v>
      </c>
      <c r="D116">
        <v>-520</v>
      </c>
      <c r="E116" s="7">
        <v>12.92</v>
      </c>
      <c r="F116" t="s">
        <v>32</v>
      </c>
      <c r="G116" t="s">
        <v>11</v>
      </c>
      <c r="H116" s="7">
        <f t="shared" si="34"/>
        <v>2.4846153846153847</v>
      </c>
      <c r="I116" s="7">
        <f t="shared" si="35"/>
        <v>3777.2021756246036</v>
      </c>
      <c r="J116" s="7">
        <f t="shared" si="36"/>
        <v>2781.89</v>
      </c>
      <c r="K116" s="7">
        <f t="shared" si="37"/>
        <v>995.3121756246037</v>
      </c>
      <c r="L116" s="4">
        <f>IF(DailyTable[[#This Row],[Result (Win/Loss)]]="Win",1,0)</f>
        <v>1</v>
      </c>
      <c r="M116" s="5">
        <f>DailyTable[[#This Row],[Total Profit]]/DailyTable[[#This Row],[Investment]]</f>
        <v>0.35778272168367681</v>
      </c>
    </row>
    <row r="117" spans="1:13" x14ac:dyDescent="0.35">
      <c r="A117" s="3">
        <v>45714</v>
      </c>
      <c r="B117" t="s">
        <v>34</v>
      </c>
      <c r="C117" s="5">
        <v>0.78300000000000003</v>
      </c>
      <c r="D117">
        <v>-250</v>
      </c>
      <c r="E117" s="7">
        <v>12.71</v>
      </c>
      <c r="F117" t="s">
        <v>32</v>
      </c>
      <c r="G117" t="s">
        <v>11</v>
      </c>
      <c r="H117" s="7">
        <f t="shared" si="34"/>
        <v>5.0839999999999996</v>
      </c>
      <c r="I117" s="7">
        <f t="shared" si="35"/>
        <v>3794.9961756246034</v>
      </c>
      <c r="J117" s="7">
        <f t="shared" si="36"/>
        <v>2794.6</v>
      </c>
      <c r="K117" s="7">
        <f t="shared" si="37"/>
        <v>1000.3961756246035</v>
      </c>
      <c r="L117" s="4">
        <f>IF(DailyTable[[#This Row],[Result (Win/Loss)]]="Win",1,0)</f>
        <v>1</v>
      </c>
      <c r="M117" s="5">
        <f>DailyTable[[#This Row],[Total Profit]]/DailyTable[[#This Row],[Investment]]</f>
        <v>0.3579747282704514</v>
      </c>
    </row>
    <row r="118" spans="1:13" x14ac:dyDescent="0.35">
      <c r="A118" s="3">
        <v>45714</v>
      </c>
      <c r="B118" t="s">
        <v>35</v>
      </c>
      <c r="C118" s="5">
        <v>0.86499999999999999</v>
      </c>
      <c r="D118">
        <v>-222</v>
      </c>
      <c r="E118" s="7">
        <v>16.059999999999999</v>
      </c>
      <c r="F118" t="s">
        <v>22</v>
      </c>
      <c r="G118" t="s">
        <v>11</v>
      </c>
      <c r="H118" s="7">
        <f t="shared" si="34"/>
        <v>7.2342342342342336</v>
      </c>
      <c r="I118" s="7">
        <f t="shared" si="35"/>
        <v>3818.2904098588378</v>
      </c>
      <c r="J118" s="7">
        <f t="shared" si="36"/>
        <v>2810.66</v>
      </c>
      <c r="K118" s="7">
        <f t="shared" si="37"/>
        <v>1007.630409858838</v>
      </c>
      <c r="L118" s="4">
        <f>IF(DailyTable[[#This Row],[Result (Win/Loss)]]="Win",1,0)</f>
        <v>1</v>
      </c>
      <c r="M118" s="5">
        <f>DailyTable[[#This Row],[Total Profit]]/DailyTable[[#This Row],[Investment]]</f>
        <v>0.35850313088699381</v>
      </c>
    </row>
    <row r="119" spans="1:13" x14ac:dyDescent="0.35">
      <c r="A119" s="3">
        <v>45714</v>
      </c>
      <c r="B119" t="s">
        <v>36</v>
      </c>
      <c r="C119" s="5">
        <v>0.51300000000000001</v>
      </c>
      <c r="D119">
        <v>506</v>
      </c>
      <c r="E119" s="7">
        <v>21.6</v>
      </c>
      <c r="F119" t="s">
        <v>22</v>
      </c>
      <c r="G119" t="s">
        <v>29</v>
      </c>
      <c r="H119" s="7">
        <f t="shared" si="34"/>
        <v>-21.6</v>
      </c>
      <c r="I119" s="7">
        <f t="shared" si="35"/>
        <v>3818.2904098588378</v>
      </c>
      <c r="J119" s="7">
        <f t="shared" si="36"/>
        <v>2832.2599999999998</v>
      </c>
      <c r="K119" s="7">
        <f t="shared" si="37"/>
        <v>986.03040985883808</v>
      </c>
      <c r="L119" s="4">
        <f>IF(DailyTable[[#This Row],[Result (Win/Loss)]]="Win",1,0)</f>
        <v>0</v>
      </c>
      <c r="M119" s="5">
        <f>DailyTable[[#This Row],[Total Profit]]/DailyTable[[#This Row],[Investment]]</f>
        <v>0.34814261750645709</v>
      </c>
    </row>
    <row r="120" spans="1:13" x14ac:dyDescent="0.35">
      <c r="A120" s="3">
        <v>45714</v>
      </c>
      <c r="B120" t="s">
        <v>37</v>
      </c>
      <c r="C120" s="5">
        <v>0.26400000000000001</v>
      </c>
      <c r="D120">
        <v>519</v>
      </c>
      <c r="E120" s="7">
        <v>19.28</v>
      </c>
      <c r="F120" t="s">
        <v>22</v>
      </c>
      <c r="G120" t="s">
        <v>29</v>
      </c>
      <c r="H120" s="7">
        <f t="shared" si="34"/>
        <v>-19.28</v>
      </c>
      <c r="I120" s="7">
        <f t="shared" si="35"/>
        <v>3818.2904098588378</v>
      </c>
      <c r="J120" s="7">
        <f t="shared" si="36"/>
        <v>2851.54</v>
      </c>
      <c r="K120" s="7">
        <f t="shared" si="37"/>
        <v>966.75040985883788</v>
      </c>
      <c r="L120" s="4">
        <f>IF(DailyTable[[#This Row],[Result (Win/Loss)]]="Win",1,0)</f>
        <v>0</v>
      </c>
      <c r="M120" s="5">
        <f>DailyTable[[#This Row],[Total Profit]]/DailyTable[[#This Row],[Investment]]</f>
        <v>0.33902747633167968</v>
      </c>
    </row>
    <row r="121" spans="1:13" x14ac:dyDescent="0.35">
      <c r="A121" s="3">
        <v>45714</v>
      </c>
      <c r="B121" t="s">
        <v>38</v>
      </c>
      <c r="C121" s="5">
        <v>0.56699999999999995</v>
      </c>
      <c r="D121">
        <v>481</v>
      </c>
      <c r="E121" s="7">
        <v>21.6</v>
      </c>
      <c r="F121" t="s">
        <v>30</v>
      </c>
      <c r="G121" t="s">
        <v>29</v>
      </c>
      <c r="H121" s="7">
        <f t="shared" si="34"/>
        <v>-21.6</v>
      </c>
      <c r="I121" s="7">
        <f t="shared" si="35"/>
        <v>3818.2904098588378</v>
      </c>
      <c r="J121" s="7">
        <f t="shared" si="36"/>
        <v>2873.14</v>
      </c>
      <c r="K121" s="7">
        <f t="shared" si="37"/>
        <v>945.15040985883797</v>
      </c>
      <c r="L121" s="4">
        <f>IF(DailyTable[[#This Row],[Result (Win/Loss)]]="Win",1,0)</f>
        <v>0</v>
      </c>
      <c r="M121" s="5">
        <f>DailyTable[[#This Row],[Total Profit]]/DailyTable[[#This Row],[Investment]]</f>
        <v>0.32896079197631789</v>
      </c>
    </row>
    <row r="122" spans="1:13" x14ac:dyDescent="0.35">
      <c r="A122" s="3">
        <v>45714</v>
      </c>
      <c r="B122" t="s">
        <v>39</v>
      </c>
      <c r="C122" s="5">
        <v>0.25900000000000001</v>
      </c>
      <c r="D122">
        <v>1627</v>
      </c>
      <c r="E122" s="7">
        <v>21.6</v>
      </c>
      <c r="F122" t="s">
        <v>30</v>
      </c>
      <c r="G122" t="s">
        <v>29</v>
      </c>
      <c r="H122" s="7">
        <f t="shared" si="34"/>
        <v>-21.6</v>
      </c>
      <c r="I122" s="7">
        <f t="shared" si="35"/>
        <v>3818.2904098588378</v>
      </c>
      <c r="J122" s="7">
        <f t="shared" si="36"/>
        <v>2894.74</v>
      </c>
      <c r="K122" s="7">
        <f t="shared" si="37"/>
        <v>923.55040985883807</v>
      </c>
      <c r="L122" s="4">
        <f>IF(DailyTable[[#This Row],[Result (Win/Loss)]]="Win",1,0)</f>
        <v>0</v>
      </c>
      <c r="M122" s="5">
        <f>DailyTable[[#This Row],[Total Profit]]/DailyTable[[#This Row],[Investment]]</f>
        <v>0.31904433899377427</v>
      </c>
    </row>
    <row r="123" spans="1:13" x14ac:dyDescent="0.35">
      <c r="A123" s="3">
        <v>45714</v>
      </c>
      <c r="B123" t="s">
        <v>41</v>
      </c>
      <c r="C123" s="5">
        <v>0.38200000000000001</v>
      </c>
      <c r="D123">
        <v>267</v>
      </c>
      <c r="E123" s="7">
        <v>11.92</v>
      </c>
      <c r="F123" t="s">
        <v>30</v>
      </c>
      <c r="G123" t="s">
        <v>29</v>
      </c>
      <c r="H123" s="7">
        <f>IF(G123="Win", IF(D123&gt;0, E123*D123/100, E123*100/ABS(D123)), -E123)</f>
        <v>-11.92</v>
      </c>
      <c r="I123" s="7">
        <f>H123+E123+I122</f>
        <v>3818.2904098588378</v>
      </c>
      <c r="J123" s="7">
        <f>J122+E123</f>
        <v>2906.66</v>
      </c>
      <c r="K123" s="7">
        <f t="shared" si="37"/>
        <v>911.63040985883799</v>
      </c>
      <c r="L123" s="4">
        <f>IF(DailyTable[[#This Row],[Result (Win/Loss)]]="Win",1,0)</f>
        <v>0</v>
      </c>
      <c r="M123" s="5">
        <f>DailyTable[[#This Row],[Total Profit]]/DailyTable[[#This Row],[Investment]]</f>
        <v>0.31363503466481735</v>
      </c>
    </row>
    <row r="124" spans="1:13" x14ac:dyDescent="0.35">
      <c r="A124" s="3">
        <v>45715</v>
      </c>
      <c r="B124" t="s">
        <v>10</v>
      </c>
      <c r="C124" s="5">
        <v>0.85299999999999998</v>
      </c>
      <c r="D124">
        <v>-162</v>
      </c>
      <c r="E124" s="7">
        <v>25</v>
      </c>
      <c r="F124" t="s">
        <v>32</v>
      </c>
      <c r="G124" t="s">
        <v>29</v>
      </c>
      <c r="H124" s="7">
        <f>IF(G124="Win", IF(D124&gt;0, E124*D124/100, E124*100/ABS(D124)), -E124)</f>
        <v>-25</v>
      </c>
      <c r="I124" s="7">
        <f>H124+E124+I123</f>
        <v>3818.2904098588378</v>
      </c>
      <c r="J124" s="7">
        <f>J123+E124</f>
        <v>2931.66</v>
      </c>
      <c r="K124" s="7">
        <f t="shared" si="37"/>
        <v>886.63040985883799</v>
      </c>
      <c r="L124" s="4">
        <f>IF(DailyTable[[#This Row],[Result (Win/Loss)]]="Win",1,0)</f>
        <v>0</v>
      </c>
      <c r="M124" s="5">
        <f>DailyTable[[#This Row],[Total Profit]]/DailyTable[[#This Row],[Investment]]</f>
        <v>0.30243289121481959</v>
      </c>
    </row>
    <row r="125" spans="1:13" x14ac:dyDescent="0.35">
      <c r="A125" s="3">
        <v>45715</v>
      </c>
      <c r="B125" t="s">
        <v>12</v>
      </c>
      <c r="C125" s="5">
        <v>0.81200000000000006</v>
      </c>
      <c r="D125">
        <v>-340</v>
      </c>
      <c r="E125" s="7">
        <v>25</v>
      </c>
      <c r="F125" t="s">
        <v>32</v>
      </c>
      <c r="G125" t="s">
        <v>29</v>
      </c>
      <c r="H125" s="7">
        <f t="shared" si="34"/>
        <v>-25</v>
      </c>
      <c r="I125" s="7">
        <f t="shared" si="35"/>
        <v>3818.2904098588378</v>
      </c>
      <c r="J125" s="7">
        <f t="shared" si="36"/>
        <v>2956.66</v>
      </c>
      <c r="K125" s="7">
        <f t="shared" si="37"/>
        <v>861.63040985883799</v>
      </c>
      <c r="L125" s="4">
        <f>IF(DailyTable[[#This Row],[Result (Win/Loss)]]="Win",1,0)</f>
        <v>0</v>
      </c>
      <c r="M125" s="5">
        <f>DailyTable[[#This Row],[Total Profit]]/DailyTable[[#This Row],[Investment]]</f>
        <v>0.29142018691998339</v>
      </c>
    </row>
    <row r="126" spans="1:13" x14ac:dyDescent="0.35">
      <c r="A126" s="3">
        <v>45715</v>
      </c>
      <c r="B126" t="s">
        <v>13</v>
      </c>
      <c r="C126" s="5">
        <v>0.69299999999999995</v>
      </c>
      <c r="D126">
        <v>120</v>
      </c>
      <c r="E126" s="7">
        <v>25</v>
      </c>
      <c r="F126" t="s">
        <v>22</v>
      </c>
      <c r="G126" t="s">
        <v>29</v>
      </c>
      <c r="H126" s="7">
        <f t="shared" si="34"/>
        <v>-25</v>
      </c>
      <c r="I126" s="7">
        <f t="shared" si="35"/>
        <v>3818.2904098588378</v>
      </c>
      <c r="J126" s="7">
        <f t="shared" si="36"/>
        <v>2981.66</v>
      </c>
      <c r="K126" s="7">
        <f t="shared" si="37"/>
        <v>836.63040985883799</v>
      </c>
      <c r="L126" s="4">
        <f>IF(DailyTable[[#This Row],[Result (Win/Loss)]]="Win",1,0)</f>
        <v>0</v>
      </c>
      <c r="M126" s="5">
        <f>DailyTable[[#This Row],[Total Profit]]/DailyTable[[#This Row],[Investment]]</f>
        <v>0.2805921566707264</v>
      </c>
    </row>
    <row r="127" spans="1:13" x14ac:dyDescent="0.35">
      <c r="A127" s="3">
        <v>45716</v>
      </c>
      <c r="B127" t="s">
        <v>10</v>
      </c>
      <c r="C127" s="5">
        <v>0.58399999999999996</v>
      </c>
      <c r="D127">
        <v>270</v>
      </c>
      <c r="E127" s="7">
        <v>10</v>
      </c>
      <c r="F127" t="s">
        <v>32</v>
      </c>
      <c r="H127" s="7">
        <f t="shared" si="34"/>
        <v>-10</v>
      </c>
      <c r="I127" s="7">
        <f t="shared" si="35"/>
        <v>3818.2904098588378</v>
      </c>
      <c r="J127" s="7">
        <f t="shared" si="36"/>
        <v>2991.66</v>
      </c>
      <c r="K127" s="7">
        <f t="shared" si="37"/>
        <v>826.63040985883799</v>
      </c>
      <c r="L127" s="4">
        <f>IF(DailyTable[[#This Row],[Result (Win/Loss)]]="Win",1,0)</f>
        <v>0</v>
      </c>
      <c r="M127" s="5">
        <f>DailyTable[[#This Row],[Total Profit]]/DailyTable[[#This Row],[Investment]]</f>
        <v>0.27631161624611017</v>
      </c>
    </row>
    <row r="128" spans="1:13" x14ac:dyDescent="0.35">
      <c r="A128" s="3">
        <v>45716</v>
      </c>
      <c r="B128" t="s">
        <v>12</v>
      </c>
      <c r="C128" s="5">
        <v>0.91300000000000003</v>
      </c>
      <c r="D128">
        <v>-135</v>
      </c>
      <c r="E128" s="7">
        <v>16.670000000000002</v>
      </c>
      <c r="F128" t="s">
        <v>32</v>
      </c>
      <c r="H128" s="7">
        <f t="shared" si="34"/>
        <v>-16.670000000000002</v>
      </c>
      <c r="I128" s="7">
        <f t="shared" si="35"/>
        <v>3818.2904098588378</v>
      </c>
      <c r="J128" s="7">
        <f t="shared" si="36"/>
        <v>3008.33</v>
      </c>
      <c r="K128" s="7">
        <f t="shared" si="37"/>
        <v>809.96040985883792</v>
      </c>
      <c r="L128" s="4">
        <f>IF(DailyTable[[#This Row],[Result (Win/Loss)]]="Win",1,0)</f>
        <v>0</v>
      </c>
      <c r="M128" s="5">
        <f>DailyTable[[#This Row],[Total Profit]]/DailyTable[[#This Row],[Investment]]</f>
        <v>0.26923921573060067</v>
      </c>
    </row>
    <row r="129" spans="1:13" x14ac:dyDescent="0.35">
      <c r="A129" s="3">
        <v>45716</v>
      </c>
      <c r="B129" t="s">
        <v>13</v>
      </c>
      <c r="C129" s="5">
        <v>0.56299999999999994</v>
      </c>
      <c r="D129">
        <v>154</v>
      </c>
      <c r="E129" s="7">
        <v>15.02</v>
      </c>
      <c r="F129" t="s">
        <v>32</v>
      </c>
      <c r="H129" s="7">
        <f t="shared" ref="H129:H138" si="38">IF(G129="Win", IF(D129&gt;0, E129*D129/100, E129*100/ABS(D129)), -E129)</f>
        <v>-15.02</v>
      </c>
      <c r="I129" s="7">
        <f t="shared" ref="I129:I138" si="39">H129+E129+I128</f>
        <v>3818.2904098588378</v>
      </c>
      <c r="J129" s="7">
        <f t="shared" ref="J129:J138" si="40">J128+E129</f>
        <v>3023.35</v>
      </c>
      <c r="K129" s="7">
        <f t="shared" ref="K129:K138" si="41">I129-J129</f>
        <v>794.94040985883794</v>
      </c>
      <c r="L129" s="4">
        <f>IF(DailyTable[[#This Row],[Result (Win/Loss)]]="Win",1,0)</f>
        <v>0</v>
      </c>
      <c r="M129" s="5">
        <f>DailyTable[[#This Row],[Total Profit]]/DailyTable[[#This Row],[Investment]]</f>
        <v>0.26293363648232521</v>
      </c>
    </row>
    <row r="130" spans="1:13" x14ac:dyDescent="0.35">
      <c r="A130" s="3">
        <v>45716</v>
      </c>
      <c r="B130" t="s">
        <v>31</v>
      </c>
      <c r="C130" s="5">
        <v>0.52200000000000002</v>
      </c>
      <c r="D130">
        <v>145</v>
      </c>
      <c r="E130" s="7">
        <v>13.27</v>
      </c>
      <c r="F130" t="s">
        <v>32</v>
      </c>
      <c r="H130" s="7">
        <f t="shared" si="38"/>
        <v>-13.27</v>
      </c>
      <c r="I130" s="7">
        <f t="shared" si="39"/>
        <v>3818.2904098588378</v>
      </c>
      <c r="J130" s="7">
        <f t="shared" si="40"/>
        <v>3036.62</v>
      </c>
      <c r="K130" s="7">
        <f t="shared" si="41"/>
        <v>781.67040985883796</v>
      </c>
      <c r="L130" s="4">
        <f>IF(DailyTable[[#This Row],[Result (Win/Loss)]]="Win",1,0)</f>
        <v>0</v>
      </c>
      <c r="M130" s="5">
        <f>DailyTable[[#This Row],[Total Profit]]/DailyTable[[#This Row],[Investment]]</f>
        <v>0.25741462871839016</v>
      </c>
    </row>
    <row r="131" spans="1:13" x14ac:dyDescent="0.35">
      <c r="A131" s="3">
        <v>45716</v>
      </c>
      <c r="B131" t="s">
        <v>33</v>
      </c>
      <c r="C131" s="5">
        <v>0.627</v>
      </c>
      <c r="D131">
        <v>-125</v>
      </c>
      <c r="E131" s="7">
        <v>11.08</v>
      </c>
      <c r="F131" t="s">
        <v>32</v>
      </c>
      <c r="H131" s="7">
        <f t="shared" si="38"/>
        <v>-11.08</v>
      </c>
      <c r="I131" s="7">
        <f t="shared" si="39"/>
        <v>3818.2904098588378</v>
      </c>
      <c r="J131" s="7">
        <f t="shared" si="40"/>
        <v>3047.7</v>
      </c>
      <c r="K131" s="7">
        <f t="shared" si="41"/>
        <v>770.59040985883803</v>
      </c>
      <c r="L131" s="4">
        <f>IF(DailyTable[[#This Row],[Result (Win/Loss)]]="Win",1,0)</f>
        <v>0</v>
      </c>
      <c r="M131" s="5">
        <f>DailyTable[[#This Row],[Total Profit]]/DailyTable[[#This Row],[Investment]]</f>
        <v>0.25284326208578212</v>
      </c>
    </row>
    <row r="132" spans="1:13" x14ac:dyDescent="0.35">
      <c r="A132" s="3">
        <v>45716</v>
      </c>
      <c r="B132" t="s">
        <v>34</v>
      </c>
      <c r="C132" s="5">
        <v>0.50600000000000001</v>
      </c>
      <c r="D132">
        <v>110</v>
      </c>
      <c r="E132" s="7">
        <v>10</v>
      </c>
      <c r="F132" t="s">
        <v>32</v>
      </c>
      <c r="H132" s="7">
        <f t="shared" si="38"/>
        <v>-10</v>
      </c>
      <c r="I132" s="7">
        <f t="shared" si="39"/>
        <v>3818.2904098588378</v>
      </c>
      <c r="J132" s="7">
        <f t="shared" si="40"/>
        <v>3057.7</v>
      </c>
      <c r="K132" s="7">
        <f t="shared" si="41"/>
        <v>760.59040985883803</v>
      </c>
      <c r="L132" s="4">
        <f>IF(DailyTable[[#This Row],[Result (Win/Loss)]]="Win",1,0)</f>
        <v>0</v>
      </c>
      <c r="M132" s="5">
        <f>DailyTable[[#This Row],[Total Profit]]/DailyTable[[#This Row],[Investment]]</f>
        <v>0.24874592336031595</v>
      </c>
    </row>
    <row r="133" spans="1:13" x14ac:dyDescent="0.35">
      <c r="A133" s="3">
        <v>45716</v>
      </c>
      <c r="B133" t="s">
        <v>35</v>
      </c>
      <c r="C133" s="5">
        <v>0.57199999999999995</v>
      </c>
      <c r="D133">
        <v>235</v>
      </c>
      <c r="E133" s="7">
        <v>21.6</v>
      </c>
      <c r="F133" t="s">
        <v>22</v>
      </c>
      <c r="H133" s="7">
        <f t="shared" si="38"/>
        <v>-21.6</v>
      </c>
      <c r="I133" s="7">
        <f t="shared" si="39"/>
        <v>3818.2904098588378</v>
      </c>
      <c r="J133" s="7">
        <f t="shared" si="40"/>
        <v>3079.2999999999997</v>
      </c>
      <c r="K133" s="7">
        <f t="shared" si="41"/>
        <v>738.99040985883812</v>
      </c>
      <c r="L133" s="4">
        <f>IF(DailyTable[[#This Row],[Result (Win/Loss)]]="Win",1,0)</f>
        <v>0</v>
      </c>
      <c r="M133" s="5">
        <f>DailyTable[[#This Row],[Total Profit]]/DailyTable[[#This Row],[Investment]]</f>
        <v>0.23998649363778721</v>
      </c>
    </row>
    <row r="134" spans="1:13" x14ac:dyDescent="0.35">
      <c r="A134" s="3">
        <v>45716</v>
      </c>
      <c r="B134" t="s">
        <v>36</v>
      </c>
      <c r="C134" s="5">
        <v>0.33800000000000002</v>
      </c>
      <c r="D134">
        <v>631</v>
      </c>
      <c r="E134" s="7">
        <v>10</v>
      </c>
      <c r="F134" t="s">
        <v>22</v>
      </c>
      <c r="H134" s="7">
        <f t="shared" si="38"/>
        <v>-10</v>
      </c>
      <c r="I134" s="7">
        <f t="shared" si="39"/>
        <v>3818.2904098588378</v>
      </c>
      <c r="J134" s="7">
        <f t="shared" si="40"/>
        <v>3089.2999999999997</v>
      </c>
      <c r="K134" s="7">
        <f t="shared" si="41"/>
        <v>728.99040985883812</v>
      </c>
      <c r="L134" s="4">
        <f>IF(DailyTable[[#This Row],[Result (Win/Loss)]]="Win",1,0)</f>
        <v>0</v>
      </c>
      <c r="M134" s="5">
        <f>DailyTable[[#This Row],[Total Profit]]/DailyTable[[#This Row],[Investment]]</f>
        <v>0.23597268308640734</v>
      </c>
    </row>
    <row r="135" spans="1:13" x14ac:dyDescent="0.35">
      <c r="A135" s="3">
        <v>45716</v>
      </c>
      <c r="B135" t="s">
        <v>37</v>
      </c>
      <c r="C135" s="5">
        <v>0.29399999999999998</v>
      </c>
      <c r="D135">
        <v>575</v>
      </c>
      <c r="E135" s="7">
        <v>21.6</v>
      </c>
      <c r="F135" t="s">
        <v>22</v>
      </c>
      <c r="H135" s="7">
        <f t="shared" si="38"/>
        <v>-21.6</v>
      </c>
      <c r="I135" s="7">
        <f t="shared" si="39"/>
        <v>3818.2904098588378</v>
      </c>
      <c r="J135" s="7">
        <f t="shared" si="40"/>
        <v>3110.8999999999996</v>
      </c>
      <c r="K135" s="7">
        <f t="shared" si="41"/>
        <v>707.39040985883821</v>
      </c>
      <c r="L135" s="4">
        <f>IF(DailyTable[[#This Row],[Result (Win/Loss)]]="Win",1,0)</f>
        <v>0</v>
      </c>
      <c r="M135" s="5">
        <f>DailyTable[[#This Row],[Total Profit]]/DailyTable[[#This Row],[Investment]]</f>
        <v>0.22739091898127176</v>
      </c>
    </row>
    <row r="136" spans="1:13" x14ac:dyDescent="0.35">
      <c r="A136" s="3">
        <v>45716</v>
      </c>
      <c r="B136" t="s">
        <v>38</v>
      </c>
      <c r="C136" s="5">
        <v>0.3</v>
      </c>
      <c r="D136">
        <v>1843</v>
      </c>
      <c r="E136" s="7">
        <v>10</v>
      </c>
      <c r="F136" t="s">
        <v>30</v>
      </c>
      <c r="H136" s="7">
        <f t="shared" si="38"/>
        <v>-10</v>
      </c>
      <c r="I136" s="7">
        <f t="shared" si="39"/>
        <v>3818.2904098588378</v>
      </c>
      <c r="J136" s="7">
        <f t="shared" si="40"/>
        <v>3120.8999999999996</v>
      </c>
      <c r="K136" s="7">
        <f t="shared" si="41"/>
        <v>697.39040985883821</v>
      </c>
      <c r="L136" s="4">
        <f>IF(DailyTable[[#This Row],[Result (Win/Loss)]]="Win",1,0)</f>
        <v>0</v>
      </c>
      <c r="M136" s="5">
        <f>DailyTable[[#This Row],[Total Profit]]/DailyTable[[#This Row],[Investment]]</f>
        <v>0.22345810819277717</v>
      </c>
    </row>
    <row r="137" spans="1:13" x14ac:dyDescent="0.35">
      <c r="A137" s="3">
        <v>45716</v>
      </c>
      <c r="B137" t="s">
        <v>39</v>
      </c>
      <c r="C137" s="5">
        <v>0.29899999999999999</v>
      </c>
      <c r="D137">
        <v>801</v>
      </c>
      <c r="E137" s="7">
        <v>18.37</v>
      </c>
      <c r="F137" t="s">
        <v>30</v>
      </c>
      <c r="H137" s="7">
        <f t="shared" si="38"/>
        <v>-18.37</v>
      </c>
      <c r="I137" s="7">
        <f t="shared" si="39"/>
        <v>3818.2904098588378</v>
      </c>
      <c r="J137" s="7">
        <f t="shared" si="40"/>
        <v>3139.2699999999995</v>
      </c>
      <c r="K137" s="7">
        <f t="shared" si="41"/>
        <v>679.02040985883832</v>
      </c>
      <c r="L137" s="4">
        <f>IF(DailyTable[[#This Row],[Result (Win/Loss)]]="Win",1,0)</f>
        <v>0</v>
      </c>
      <c r="M137" s="5">
        <f>DailyTable[[#This Row],[Total Profit]]/DailyTable[[#This Row],[Investment]]</f>
        <v>0.21629882420398322</v>
      </c>
    </row>
    <row r="138" spans="1:13" x14ac:dyDescent="0.35">
      <c r="A138" s="3">
        <v>45716</v>
      </c>
      <c r="B138" t="s">
        <v>41</v>
      </c>
      <c r="C138" s="5">
        <v>0.26700000000000002</v>
      </c>
      <c r="D138">
        <v>678</v>
      </c>
      <c r="E138" s="7">
        <v>14.24</v>
      </c>
      <c r="F138" t="s">
        <v>30</v>
      </c>
      <c r="H138" s="7">
        <f t="shared" si="38"/>
        <v>-14.24</v>
      </c>
      <c r="I138" s="7">
        <f t="shared" si="39"/>
        <v>3818.2904098588378</v>
      </c>
      <c r="J138" s="7">
        <f t="shared" si="40"/>
        <v>3153.5099999999993</v>
      </c>
      <c r="K138" s="7">
        <f t="shared" si="41"/>
        <v>664.78040985883854</v>
      </c>
      <c r="L138" s="4">
        <f>IF(DailyTable[[#This Row],[Result (Win/Loss)]]="Win",1,0)</f>
        <v>0</v>
      </c>
      <c r="M138" s="5">
        <f>DailyTable[[#This Row],[Total Profit]]/DailyTable[[#This Row],[Investment]]</f>
        <v>0.21080650128232944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41F8B-E713-4B7C-B348-7972A141003C}">
  <dimension ref="A1:E16"/>
  <sheetViews>
    <sheetView workbookViewId="0">
      <selection activeCell="D21" sqref="D21"/>
    </sheetView>
  </sheetViews>
  <sheetFormatPr defaultRowHeight="14.5" x14ac:dyDescent="0.35"/>
  <cols>
    <col min="1" max="1" width="6" bestFit="1" customWidth="1"/>
    <col min="2" max="3" width="10.453125" customWidth="1"/>
    <col min="4" max="4" width="8.453125" bestFit="1" customWidth="1"/>
    <col min="5" max="5" width="9.90625" customWidth="1"/>
  </cols>
  <sheetData>
    <row r="1" spans="1:5" x14ac:dyDescent="0.35">
      <c r="A1" s="6" t="s">
        <v>21</v>
      </c>
      <c r="B1" s="6" t="s">
        <v>23</v>
      </c>
      <c r="C1" s="6" t="s">
        <v>24</v>
      </c>
      <c r="D1" s="6" t="s">
        <v>18</v>
      </c>
      <c r="E1" s="6" t="s">
        <v>28</v>
      </c>
    </row>
    <row r="2" spans="1:5" x14ac:dyDescent="0.35">
      <c r="A2" t="str" cm="1">
        <f t="array" ref="A2:A5">_xlfn.UNIQUE(DailyTable[Parlay])</f>
        <v>2 Pick</v>
      </c>
      <c r="B2">
        <f>SUMIF(DailyTable[Parlay],Sheet3!A2,DailyTable[Win Count])</f>
        <v>25</v>
      </c>
      <c r="C2">
        <f>COUNTIF(DailyTable[Parlay],Sheet3!A2)</f>
        <v>73</v>
      </c>
      <c r="D2" s="10">
        <f>B2/C2</f>
        <v>0.34246575342465752</v>
      </c>
      <c r="E2" s="10">
        <f>AVERAGEIF(DailyTable[Parlay],Sheet3!A2,DailyTable[Win Prob (%)])</f>
        <v>0.48517808219178071</v>
      </c>
    </row>
    <row r="3" spans="1:5" x14ac:dyDescent="0.35">
      <c r="A3" t="str">
        <v>1 Pick</v>
      </c>
      <c r="B3">
        <f>SUMIF(DailyTable[Parlay],Sheet3!A3,DailyTable[Win Count])</f>
        <v>7</v>
      </c>
      <c r="C3">
        <f>COUNTIF(DailyTable[Parlay],Sheet3!A3)</f>
        <v>22</v>
      </c>
      <c r="D3" s="10">
        <f>B3/C3</f>
        <v>0.31818181818181818</v>
      </c>
      <c r="E3" s="10">
        <f>AVERAGEIF(DailyTable[Parlay],Sheet3!A3,DailyTable[Win Prob (%)])</f>
        <v>0.6902272727272728</v>
      </c>
    </row>
    <row r="4" spans="1:5" x14ac:dyDescent="0.35">
      <c r="A4" t="str">
        <v>3 Pick</v>
      </c>
      <c r="B4">
        <f>SUMIF(DailyTable[Parlay],Sheet3!A4,DailyTable[Win Count])</f>
        <v>6</v>
      </c>
      <c r="C4">
        <f>COUNTIF(DailyTable[Parlay],Sheet3!A4)</f>
        <v>41</v>
      </c>
      <c r="D4" s="10">
        <f>B4/C4</f>
        <v>0.14634146341463414</v>
      </c>
      <c r="E4" s="10">
        <f>AVERAGEIF(DailyTable[Parlay],Sheet3!A4,DailyTable[Win Prob (%)])</f>
        <v>0.35975609756097565</v>
      </c>
    </row>
    <row r="5" spans="1:5" x14ac:dyDescent="0.35">
      <c r="A5" t="str">
        <v>4 Pick</v>
      </c>
      <c r="D5" s="5"/>
      <c r="E5" s="5"/>
    </row>
    <row r="12" spans="1:5" x14ac:dyDescent="0.35">
      <c r="A12" s="6" t="s">
        <v>21</v>
      </c>
      <c r="B12" s="6" t="s">
        <v>26</v>
      </c>
      <c r="C12" s="6" t="s">
        <v>9</v>
      </c>
      <c r="D12" s="6" t="s">
        <v>27</v>
      </c>
    </row>
    <row r="13" spans="1:5" x14ac:dyDescent="0.35">
      <c r="A13" t="str" cm="1">
        <f t="array" ref="A13:A16">_xlfn.UNIQUE(DailyTable[Parlay])</f>
        <v>2 Pick</v>
      </c>
      <c r="B13" s="7">
        <f>SUMIF(DailyTable[Parlay],Sheet3!A13,DailyTable[Wager])</f>
        <v>1945.1399999999996</v>
      </c>
      <c r="C13" s="7">
        <f>SUMIF(DailyTable[Parlay],Sheet3!A13,DailyTable[Profit])</f>
        <v>1024.6827577241675</v>
      </c>
      <c r="D13" s="9">
        <f>C13/B13</f>
        <v>0.52679126321198866</v>
      </c>
    </row>
    <row r="14" spans="1:5" x14ac:dyDescent="0.35">
      <c r="A14" t="str">
        <v>1 Pick</v>
      </c>
      <c r="B14" s="7">
        <f>SUMIF(DailyTable[Parlay],Sheet3!A14,DailyTable[Wager])</f>
        <v>410.63999999999993</v>
      </c>
      <c r="C14" s="7">
        <f>SUMIF(DailyTable[Parlay],Sheet3!A14,DailyTable[Profit])</f>
        <v>-141.82915058641663</v>
      </c>
      <c r="D14" s="9">
        <f>C14/B14</f>
        <v>-0.34538561900062503</v>
      </c>
    </row>
    <row r="15" spans="1:5" x14ac:dyDescent="0.35">
      <c r="A15" t="str">
        <v>3 Pick</v>
      </c>
      <c r="B15" s="7">
        <f>SUMIF(DailyTable[Parlay],Sheet3!A15,DailyTable[Wager])</f>
        <v>787.73</v>
      </c>
      <c r="C15" s="7">
        <f>SUMIF(DailyTable[Parlay],Sheet3!A15,DailyTable[Profit])</f>
        <v>-208.07319727891155</v>
      </c>
      <c r="D15" s="9">
        <f>C15/B15</f>
        <v>-0.26414278658793183</v>
      </c>
    </row>
    <row r="16" spans="1:5" x14ac:dyDescent="0.35">
      <c r="A16" t="str">
        <v>4 Pick</v>
      </c>
      <c r="C16" s="4"/>
      <c r="D16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7"/>
  <sheetViews>
    <sheetView workbookViewId="0">
      <selection activeCell="B5" sqref="B5"/>
    </sheetView>
  </sheetViews>
  <sheetFormatPr defaultRowHeight="14.5" x14ac:dyDescent="0.35"/>
  <cols>
    <col min="1" max="1" width="19.08984375" bestFit="1" customWidth="1"/>
    <col min="2" max="2" width="11.81640625" bestFit="1" customWidth="1"/>
  </cols>
  <sheetData>
    <row r="1" spans="1:2" x14ac:dyDescent="0.35">
      <c r="A1" s="6" t="s">
        <v>14</v>
      </c>
      <c r="B1" s="6" t="s">
        <v>15</v>
      </c>
    </row>
    <row r="2" spans="1:2" x14ac:dyDescent="0.35">
      <c r="A2" t="s">
        <v>9</v>
      </c>
      <c r="B2" s="8">
        <f>SUM(DailyTable[Profit])</f>
        <v>664.78040985883922</v>
      </c>
    </row>
    <row r="3" spans="1:2" x14ac:dyDescent="0.35">
      <c r="A3" t="s">
        <v>16</v>
      </c>
      <c r="B3" s="5">
        <f>AVERAGE(DailyTable[Win Prob (%)])</f>
        <v>0.47848175182481767</v>
      </c>
    </row>
    <row r="4" spans="1:2" x14ac:dyDescent="0.35">
      <c r="A4" t="s">
        <v>17</v>
      </c>
      <c r="B4" s="7">
        <f>SUM(DailyTable[Wager])</f>
        <v>3153.5099999999993</v>
      </c>
    </row>
    <row r="5" spans="1:2" x14ac:dyDescent="0.35">
      <c r="A5" t="s">
        <v>18</v>
      </c>
      <c r="B5" s="5">
        <f>COUNTIF(DailyTable[Result (Win/Loss)], "Win")/COUNTA(DailyTable[Result (Win/Loss)])</f>
        <v>0.30399999999999999</v>
      </c>
    </row>
    <row r="6" spans="1:2" x14ac:dyDescent="0.35">
      <c r="A6" t="s">
        <v>19</v>
      </c>
      <c r="B6" s="5">
        <f>COUNTIF(DailyTable[Result (Win/Loss)], "Loss")/COUNTA(DailyTable[Result (Win/Loss)])</f>
        <v>0.69599999999999995</v>
      </c>
    </row>
    <row r="7" spans="1:2" x14ac:dyDescent="0.35">
      <c r="A7" t="s">
        <v>20</v>
      </c>
      <c r="B7" s="7">
        <f>MAX(DailyTable[Total Balance])</f>
        <v>3818.2904098588378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Daily</vt:lpstr>
      <vt:lpstr>Sheet3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SeokHyun</dc:creator>
  <cp:lastModifiedBy>A2409</cp:lastModifiedBy>
  <dcterms:created xsi:type="dcterms:W3CDTF">2025-01-27T20:08:17Z</dcterms:created>
  <dcterms:modified xsi:type="dcterms:W3CDTF">2025-03-12T18:06:02Z</dcterms:modified>
</cp:coreProperties>
</file>